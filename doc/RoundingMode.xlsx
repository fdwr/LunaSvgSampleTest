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c\LunaSvgSampleTest\doc\"/>
    </mc:Choice>
  </mc:AlternateContent>
  <xr:revisionPtr revIDLastSave="32" documentId="8_{F2ABB296-43A5-4F3E-8278-86895E5C2709}" xr6:coauthVersionLast="47" xr6:coauthVersionMax="47" xr10:uidLastSave="{340C563A-B845-48B9-AB5C-B3AA68847DB9}"/>
  <bookViews>
    <workbookView xWindow="19830" yWindow="2160" windowWidth="34800" windowHeight="23445" xr2:uid="{BDB12191-AF2A-474F-8384-7F841FD4FA4D}"/>
  </bookViews>
  <sheets>
    <sheet name="Calculations" sheetId="3" r:id="rId1"/>
    <sheet name="Rounding1" sheetId="2" r:id="rId2"/>
    <sheet name="Rounding2" sheetId="1" r:id="rId3"/>
  </sheets>
  <definedNames>
    <definedName name="RoundScaleBias">_xlfn.LAMBDA(_xlpm.input,_xlpm.prebias,_xlpm.midbias,_xlpm.postbias,_xlpm.scale,_xlpm.mode, IF(_xlpm.mode="floor", FLOOR((_xlpm.input - _xlpm.prebias) / _xlpm.scale - _xlpm.midbias, 1), CEILING((_xlpm.input - _xlpm.prebias) / _xlpm.scale - _xlpm.midbias, 1)) * _xlpm.scale + _xlpm.postbias)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3" l="1"/>
  <c r="B8" i="3"/>
  <c r="B9" i="3" s="1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W40" i="1" a="1"/>
  <c r="V40" i="1" a="1"/>
  <c r="S40" i="1" a="1"/>
  <c r="R40" i="1" a="1"/>
  <c r="Q40" i="1" a="1"/>
  <c r="P40" i="1" a="1"/>
  <c r="U40" i="1" a="1"/>
  <c r="T40" i="1" a="1"/>
  <c r="O40" i="1" a="1"/>
  <c r="N40" i="1" a="1"/>
  <c r="M40" i="1" a="1"/>
  <c r="L40" i="1" a="1"/>
  <c r="K40" i="1" a="1"/>
  <c r="J40" i="1" a="1"/>
  <c r="I40" i="1" a="1"/>
  <c r="H40" i="1" a="1"/>
  <c r="G40" i="1" a="1"/>
  <c r="F40" i="1" a="1"/>
  <c r="E40" i="1" a="1"/>
  <c r="W39" i="1" a="1"/>
  <c r="V39" i="1" a="1"/>
  <c r="S39" i="1" a="1"/>
  <c r="R39" i="1" a="1"/>
  <c r="Q39" i="1" a="1"/>
  <c r="P39" i="1" a="1"/>
  <c r="U39" i="1" a="1"/>
  <c r="T39" i="1" a="1"/>
  <c r="O39" i="1" a="1"/>
  <c r="N39" i="1" a="1"/>
  <c r="M39" i="1" a="1"/>
  <c r="L39" i="1" a="1"/>
  <c r="K39" i="1" a="1"/>
  <c r="J39" i="1" a="1"/>
  <c r="I39" i="1" a="1"/>
  <c r="H39" i="1" a="1"/>
  <c r="G39" i="1" a="1"/>
  <c r="F39" i="1" a="1"/>
  <c r="E39" i="1" a="1"/>
  <c r="W38" i="1" a="1"/>
  <c r="V38" i="1" a="1"/>
  <c r="S38" i="1" a="1"/>
  <c r="R38" i="1" a="1"/>
  <c r="Q38" i="1" a="1"/>
  <c r="P38" i="1" a="1"/>
  <c r="U38" i="1" a="1"/>
  <c r="T38" i="1" a="1"/>
  <c r="O38" i="1" a="1"/>
  <c r="N38" i="1" a="1"/>
  <c r="M38" i="1" a="1"/>
  <c r="L38" i="1" a="1"/>
  <c r="K38" i="1" a="1"/>
  <c r="J38" i="1" a="1"/>
  <c r="I38" i="1" a="1"/>
  <c r="H38" i="1" a="1"/>
  <c r="G38" i="1" a="1"/>
  <c r="F38" i="1" a="1"/>
  <c r="E38" i="1" a="1"/>
  <c r="W37" i="1" a="1"/>
  <c r="V37" i="1" a="1"/>
  <c r="S37" i="1" a="1"/>
  <c r="R37" i="1" a="1"/>
  <c r="Q37" i="1" a="1"/>
  <c r="P37" i="1" a="1"/>
  <c r="U37" i="1" a="1"/>
  <c r="T37" i="1" a="1"/>
  <c r="O37" i="1" a="1"/>
  <c r="N37" i="1" a="1"/>
  <c r="M37" i="1" a="1"/>
  <c r="L37" i="1" a="1"/>
  <c r="K37" i="1" a="1"/>
  <c r="J37" i="1" a="1"/>
  <c r="I37" i="1" a="1"/>
  <c r="H37" i="1" a="1"/>
  <c r="G37" i="1" a="1"/>
  <c r="F37" i="1" a="1"/>
  <c r="E37" i="1" a="1"/>
  <c r="W36" i="1" a="1"/>
  <c r="V36" i="1" a="1"/>
  <c r="S36" i="1" a="1"/>
  <c r="R36" i="1" a="1"/>
  <c r="Q36" i="1" a="1"/>
  <c r="P36" i="1" a="1"/>
  <c r="U36" i="1" a="1"/>
  <c r="T36" i="1" a="1"/>
  <c r="O36" i="1" a="1"/>
  <c r="N36" i="1" a="1"/>
  <c r="M36" i="1" a="1"/>
  <c r="L36" i="1" a="1"/>
  <c r="K36" i="1" a="1"/>
  <c r="J36" i="1" a="1"/>
  <c r="I36" i="1" a="1"/>
  <c r="H36" i="1" a="1"/>
  <c r="G36" i="1" a="1"/>
  <c r="F36" i="1" a="1"/>
  <c r="E36" i="1" a="1"/>
  <c r="W35" i="1" a="1"/>
  <c r="V35" i="1" a="1"/>
  <c r="S35" i="1" a="1"/>
  <c r="R35" i="1" a="1"/>
  <c r="Q35" i="1" a="1"/>
  <c r="P35" i="1" a="1"/>
  <c r="U35" i="1" a="1"/>
  <c r="T35" i="1" a="1"/>
  <c r="O35" i="1" a="1"/>
  <c r="N35" i="1" a="1"/>
  <c r="M35" i="1" a="1"/>
  <c r="L35" i="1" a="1"/>
  <c r="K35" i="1" a="1"/>
  <c r="J35" i="1" a="1"/>
  <c r="I35" i="1" a="1"/>
  <c r="H35" i="1" a="1"/>
  <c r="G35" i="1" a="1"/>
  <c r="F35" i="1" a="1"/>
  <c r="E35" i="1" a="1"/>
  <c r="W34" i="1" a="1"/>
  <c r="V34" i="1" a="1"/>
  <c r="S34" i="1" a="1"/>
  <c r="R34" i="1" a="1"/>
  <c r="Q34" i="1" a="1"/>
  <c r="P34" i="1" a="1"/>
  <c r="U34" i="1" a="1"/>
  <c r="T34" i="1" a="1"/>
  <c r="O34" i="1" a="1"/>
  <c r="N34" i="1" a="1"/>
  <c r="M34" i="1" a="1"/>
  <c r="L34" i="1" a="1"/>
  <c r="K34" i="1" a="1"/>
  <c r="J34" i="1" a="1"/>
  <c r="I34" i="1" a="1"/>
  <c r="H34" i="1" a="1"/>
  <c r="G34" i="1" a="1"/>
  <c r="F34" i="1" a="1"/>
  <c r="E34" i="1" a="1"/>
  <c r="W33" i="1" a="1"/>
  <c r="V33" i="1" a="1"/>
  <c r="S33" i="1" a="1"/>
  <c r="R33" i="1" a="1"/>
  <c r="Q33" i="1" a="1"/>
  <c r="P33" i="1" a="1"/>
  <c r="U33" i="1" a="1"/>
  <c r="T33" i="1" a="1"/>
  <c r="O33" i="1" a="1"/>
  <c r="N33" i="1" a="1"/>
  <c r="M33" i="1" a="1"/>
  <c r="L33" i="1" a="1"/>
  <c r="K33" i="1" a="1"/>
  <c r="J33" i="1" a="1"/>
  <c r="I33" i="1" a="1"/>
  <c r="H33" i="1" a="1"/>
  <c r="G33" i="1" a="1"/>
  <c r="F33" i="1" a="1"/>
  <c r="E33" i="1" a="1"/>
  <c r="W32" i="1" a="1"/>
  <c r="V32" i="1" a="1"/>
  <c r="S32" i="1" a="1"/>
  <c r="R32" i="1" a="1"/>
  <c r="Q32" i="1" a="1"/>
  <c r="P32" i="1" a="1"/>
  <c r="U32" i="1" a="1"/>
  <c r="T32" i="1" a="1"/>
  <c r="O32" i="1" a="1"/>
  <c r="N32" i="1" a="1"/>
  <c r="M32" i="1" a="1"/>
  <c r="L32" i="1" a="1"/>
  <c r="K32" i="1" a="1"/>
  <c r="J32" i="1" a="1"/>
  <c r="I32" i="1" a="1"/>
  <c r="H32" i="1" a="1"/>
  <c r="G32" i="1" a="1"/>
  <c r="F32" i="1" a="1"/>
  <c r="E32" i="1" a="1"/>
  <c r="W31" i="1" a="1"/>
  <c r="V31" i="1" a="1"/>
  <c r="S31" i="1" a="1"/>
  <c r="R31" i="1" a="1"/>
  <c r="Q31" i="1" a="1"/>
  <c r="P31" i="1" a="1"/>
  <c r="U31" i="1" a="1"/>
  <c r="T31" i="1" a="1"/>
  <c r="O31" i="1" a="1"/>
  <c r="N31" i="1" a="1"/>
  <c r="M31" i="1" a="1"/>
  <c r="L31" i="1" a="1"/>
  <c r="K31" i="1" a="1"/>
  <c r="J31" i="1" a="1"/>
  <c r="I31" i="1" a="1"/>
  <c r="H31" i="1" a="1"/>
  <c r="G31" i="1" a="1"/>
  <c r="F31" i="1" a="1"/>
  <c r="E31" i="1" a="1"/>
  <c r="W30" i="1" a="1"/>
  <c r="V30" i="1" a="1"/>
  <c r="S30" i="1" a="1"/>
  <c r="R30" i="1" a="1"/>
  <c r="Q30" i="1" a="1"/>
  <c r="P30" i="1" a="1"/>
  <c r="U30" i="1" a="1"/>
  <c r="T30" i="1" a="1"/>
  <c r="O30" i="1" a="1"/>
  <c r="N30" i="1" a="1"/>
  <c r="M30" i="1" a="1"/>
  <c r="L30" i="1" a="1"/>
  <c r="K30" i="1" a="1"/>
  <c r="J30" i="1" a="1"/>
  <c r="I30" i="1" a="1"/>
  <c r="H30" i="1" a="1"/>
  <c r="G30" i="1" a="1"/>
  <c r="F30" i="1" a="1"/>
  <c r="E30" i="1" a="1"/>
  <c r="W29" i="1" a="1"/>
  <c r="V29" i="1" a="1"/>
  <c r="S29" i="1" a="1"/>
  <c r="R29" i="1" a="1"/>
  <c r="Q29" i="1" a="1"/>
  <c r="P29" i="1" a="1"/>
  <c r="U29" i="1" a="1"/>
  <c r="T29" i="1" a="1"/>
  <c r="O29" i="1" a="1"/>
  <c r="N29" i="1" a="1"/>
  <c r="M29" i="1" a="1"/>
  <c r="L29" i="1" a="1"/>
  <c r="K29" i="1" a="1"/>
  <c r="J29" i="1" a="1"/>
  <c r="I29" i="1" a="1"/>
  <c r="H29" i="1" a="1"/>
  <c r="G29" i="1" a="1"/>
  <c r="F29" i="1" a="1"/>
  <c r="E29" i="1" a="1"/>
  <c r="W28" i="1" a="1"/>
  <c r="V28" i="1" a="1"/>
  <c r="S28" i="1" a="1"/>
  <c r="R28" i="1" a="1"/>
  <c r="Q28" i="1" a="1"/>
  <c r="P28" i="1" a="1"/>
  <c r="U28" i="1" a="1"/>
  <c r="T28" i="1" a="1"/>
  <c r="O28" i="1" a="1"/>
  <c r="N28" i="1" a="1"/>
  <c r="M28" i="1" a="1"/>
  <c r="L28" i="1" a="1"/>
  <c r="K28" i="1" a="1"/>
  <c r="J28" i="1" a="1"/>
  <c r="I28" i="1" a="1"/>
  <c r="H28" i="1" a="1"/>
  <c r="G28" i="1" a="1"/>
  <c r="F28" i="1" a="1"/>
  <c r="E28" i="1" a="1"/>
  <c r="W27" i="1" a="1"/>
  <c r="V27" i="1" a="1"/>
  <c r="S27" i="1" a="1"/>
  <c r="R27" i="1" a="1"/>
  <c r="Q27" i="1" a="1"/>
  <c r="P27" i="1" a="1"/>
  <c r="U27" i="1" a="1"/>
  <c r="T27" i="1" a="1"/>
  <c r="O27" i="1" a="1"/>
  <c r="N27" i="1" a="1"/>
  <c r="M27" i="1" a="1"/>
  <c r="L27" i="1" a="1"/>
  <c r="K27" i="1" a="1"/>
  <c r="J27" i="1" a="1"/>
  <c r="I27" i="1" a="1"/>
  <c r="H27" i="1" a="1"/>
  <c r="G27" i="1" a="1"/>
  <c r="F27" i="1" a="1"/>
  <c r="E27" i="1" a="1"/>
  <c r="W26" i="1" a="1"/>
  <c r="V26" i="1" a="1"/>
  <c r="S26" i="1" a="1"/>
  <c r="R26" i="1" a="1"/>
  <c r="Q26" i="1" a="1"/>
  <c r="P26" i="1" a="1"/>
  <c r="U26" i="1" a="1"/>
  <c r="T26" i="1" a="1"/>
  <c r="O26" i="1" a="1"/>
  <c r="N26" i="1" a="1"/>
  <c r="M26" i="1" a="1"/>
  <c r="L26" i="1" a="1"/>
  <c r="K26" i="1" a="1"/>
  <c r="J26" i="1" a="1"/>
  <c r="I26" i="1" a="1"/>
  <c r="H26" i="1" a="1"/>
  <c r="G26" i="1" a="1"/>
  <c r="F26" i="1" a="1"/>
  <c r="E26" i="1" a="1"/>
  <c r="W25" i="1" a="1"/>
  <c r="V25" i="1" a="1"/>
  <c r="S25" i="1" a="1"/>
  <c r="R25" i="1" a="1"/>
  <c r="Q25" i="1" a="1"/>
  <c r="P25" i="1" a="1"/>
  <c r="U25" i="1" a="1"/>
  <c r="T25" i="1" a="1"/>
  <c r="O25" i="1" a="1"/>
  <c r="N25" i="1" a="1"/>
  <c r="M25" i="1" a="1"/>
  <c r="L25" i="1" a="1"/>
  <c r="K25" i="1" a="1"/>
  <c r="J25" i="1" a="1"/>
  <c r="I25" i="1" a="1"/>
  <c r="H25" i="1" a="1"/>
  <c r="G25" i="1" a="1"/>
  <c r="F25" i="1" a="1"/>
  <c r="E25" i="1" a="1"/>
  <c r="W24" i="1" a="1"/>
  <c r="V24" i="1" a="1"/>
  <c r="S24" i="1" a="1"/>
  <c r="R24" i="1" a="1"/>
  <c r="Q24" i="1" a="1"/>
  <c r="P24" i="1" a="1"/>
  <c r="U24" i="1" a="1"/>
  <c r="T24" i="1" a="1"/>
  <c r="O24" i="1" a="1"/>
  <c r="N24" i="1" a="1"/>
  <c r="M24" i="1" a="1"/>
  <c r="L24" i="1" a="1"/>
  <c r="K24" i="1" a="1"/>
  <c r="J24" i="1" a="1"/>
  <c r="I24" i="1" a="1"/>
  <c r="H24" i="1" a="1"/>
  <c r="G24" i="1" a="1"/>
  <c r="F24" i="1" a="1"/>
  <c r="E24" i="1" a="1"/>
  <c r="W23" i="1" a="1"/>
  <c r="V23" i="1" a="1"/>
  <c r="S23" i="1" a="1"/>
  <c r="R23" i="1" a="1"/>
  <c r="Q23" i="1" a="1"/>
  <c r="P23" i="1" a="1"/>
  <c r="U23" i="1" a="1"/>
  <c r="T23" i="1" a="1"/>
  <c r="O23" i="1" a="1"/>
  <c r="N23" i="1" a="1"/>
  <c r="M23" i="1" a="1"/>
  <c r="L23" i="1" a="1"/>
  <c r="K23" i="1" a="1"/>
  <c r="J23" i="1" a="1"/>
  <c r="I23" i="1" a="1"/>
  <c r="H23" i="1" a="1"/>
  <c r="G23" i="1" a="1"/>
  <c r="F23" i="1" a="1"/>
  <c r="E23" i="1" a="1"/>
  <c r="W22" i="1" a="1"/>
  <c r="V22" i="1" a="1"/>
  <c r="S22" i="1" a="1"/>
  <c r="R22" i="1" a="1"/>
  <c r="Q22" i="1" a="1"/>
  <c r="P22" i="1" a="1"/>
  <c r="U22" i="1" a="1"/>
  <c r="T22" i="1" a="1"/>
  <c r="O22" i="1" a="1"/>
  <c r="N22" i="1" a="1"/>
  <c r="M22" i="1" a="1"/>
  <c r="L22" i="1" a="1"/>
  <c r="K22" i="1" a="1"/>
  <c r="J22" i="1" a="1"/>
  <c r="I22" i="1" a="1"/>
  <c r="H22" i="1" a="1"/>
  <c r="G22" i="1" a="1"/>
  <c r="F22" i="1" a="1"/>
  <c r="E22" i="1" a="1"/>
  <c r="W21" i="1" a="1"/>
  <c r="V21" i="1" a="1"/>
  <c r="S21" i="1" a="1"/>
  <c r="R21" i="1" a="1"/>
  <c r="Q21" i="1" a="1"/>
  <c r="P21" i="1" a="1"/>
  <c r="U21" i="1" a="1"/>
  <c r="T21" i="1" a="1"/>
  <c r="O21" i="1" a="1"/>
  <c r="N21" i="1" a="1"/>
  <c r="M21" i="1" a="1"/>
  <c r="L21" i="1" a="1"/>
  <c r="K21" i="1" a="1"/>
  <c r="J21" i="1" a="1"/>
  <c r="I21" i="1" a="1"/>
  <c r="H21" i="1" a="1"/>
  <c r="G21" i="1" a="1"/>
  <c r="F21" i="1" a="1"/>
  <c r="E21" i="1" a="1"/>
  <c r="W20" i="1" a="1"/>
  <c r="V20" i="1" a="1"/>
  <c r="S20" i="1" a="1"/>
  <c r="R20" i="1" a="1"/>
  <c r="Q20" i="1" a="1"/>
  <c r="P20" i="1" a="1"/>
  <c r="U20" i="1" a="1"/>
  <c r="T20" i="1" a="1"/>
  <c r="O20" i="1" a="1"/>
  <c r="N20" i="1" a="1"/>
  <c r="M20" i="1" a="1"/>
  <c r="L20" i="1" a="1"/>
  <c r="K20" i="1" a="1"/>
  <c r="J20" i="1" a="1"/>
  <c r="I20" i="1" a="1"/>
  <c r="H20" i="1" a="1"/>
  <c r="G20" i="1" a="1"/>
  <c r="F20" i="1" a="1"/>
  <c r="E20" i="1" a="1"/>
  <c r="W19" i="1" a="1"/>
  <c r="V19" i="1" a="1"/>
  <c r="S19" i="1" a="1"/>
  <c r="R19" i="1" a="1"/>
  <c r="Q19" i="1" a="1"/>
  <c r="P19" i="1" a="1"/>
  <c r="U19" i="1" a="1"/>
  <c r="T19" i="1" a="1"/>
  <c r="O19" i="1" a="1"/>
  <c r="N19" i="1" a="1"/>
  <c r="M19" i="1" a="1"/>
  <c r="L19" i="1" a="1"/>
  <c r="K19" i="1" a="1"/>
  <c r="J19" i="1" a="1"/>
  <c r="I19" i="1" a="1"/>
  <c r="H19" i="1" a="1"/>
  <c r="G19" i="1" a="1"/>
  <c r="F19" i="1" a="1"/>
  <c r="E19" i="1" a="1"/>
  <c r="W18" i="1" a="1"/>
  <c r="V18" i="1" a="1"/>
  <c r="S18" i="1" a="1"/>
  <c r="R18" i="1" a="1"/>
  <c r="Q18" i="1" a="1"/>
  <c r="P18" i="1" a="1"/>
  <c r="U18" i="1" a="1"/>
  <c r="T18" i="1" a="1"/>
  <c r="O18" i="1" a="1"/>
  <c r="N18" i="1" a="1"/>
  <c r="M18" i="1" a="1"/>
  <c r="L18" i="1" a="1"/>
  <c r="K18" i="1" a="1"/>
  <c r="J18" i="1" a="1"/>
  <c r="I18" i="1" a="1"/>
  <c r="H18" i="1" a="1"/>
  <c r="G18" i="1" a="1"/>
  <c r="F18" i="1" a="1"/>
  <c r="E18" i="1" a="1"/>
  <c r="W17" i="1" a="1"/>
  <c r="V17" i="1" a="1"/>
  <c r="S17" i="1" a="1"/>
  <c r="R17" i="1" a="1"/>
  <c r="Q17" i="1" a="1"/>
  <c r="P17" i="1" a="1"/>
  <c r="U17" i="1" a="1"/>
  <c r="T17" i="1" a="1"/>
  <c r="O17" i="1" a="1"/>
  <c r="N17" i="1" a="1"/>
  <c r="M17" i="1" a="1"/>
  <c r="L17" i="1" a="1"/>
  <c r="K17" i="1" a="1"/>
  <c r="J17" i="1" a="1"/>
  <c r="I17" i="1" a="1"/>
  <c r="H17" i="1" a="1"/>
  <c r="G17" i="1" a="1"/>
  <c r="F17" i="1" a="1"/>
  <c r="E17" i="1" a="1"/>
  <c r="W16" i="1" a="1"/>
  <c r="V16" i="1" a="1"/>
  <c r="S16" i="1" a="1"/>
  <c r="R16" i="1" a="1"/>
  <c r="Q16" i="1" a="1"/>
  <c r="P16" i="1" a="1"/>
  <c r="U16" i="1" a="1"/>
  <c r="T16" i="1" a="1"/>
  <c r="O16" i="1" a="1"/>
  <c r="N16" i="1" a="1"/>
  <c r="M16" i="1" a="1"/>
  <c r="L16" i="1" a="1"/>
  <c r="K16" i="1" a="1"/>
  <c r="J16" i="1" a="1"/>
  <c r="I16" i="1" a="1"/>
  <c r="H16" i="1" a="1"/>
  <c r="G16" i="1" a="1"/>
  <c r="F16" i="1" a="1"/>
  <c r="E16" i="1" a="1"/>
  <c r="W15" i="1" a="1"/>
  <c r="V15" i="1" a="1"/>
  <c r="S15" i="1" a="1"/>
  <c r="R15" i="1" a="1"/>
  <c r="Q15" i="1" a="1"/>
  <c r="P15" i="1" a="1"/>
  <c r="U15" i="1" a="1"/>
  <c r="T15" i="1" a="1"/>
  <c r="O15" i="1" a="1"/>
  <c r="N15" i="1" a="1"/>
  <c r="M15" i="1" a="1"/>
  <c r="L15" i="1" a="1"/>
  <c r="K15" i="1" a="1"/>
  <c r="J15" i="1" a="1"/>
  <c r="I15" i="1" a="1"/>
  <c r="H15" i="1" a="1"/>
  <c r="G15" i="1" a="1"/>
  <c r="F15" i="1" a="1"/>
  <c r="E15" i="1" a="1"/>
  <c r="W14" i="1" a="1"/>
  <c r="V14" i="1" a="1"/>
  <c r="S14" i="1" a="1"/>
  <c r="R14" i="1" a="1"/>
  <c r="Q14" i="1" a="1"/>
  <c r="P14" i="1" a="1"/>
  <c r="U14" i="1" a="1"/>
  <c r="T14" i="1" a="1"/>
  <c r="O14" i="1" a="1"/>
  <c r="N14" i="1" a="1"/>
  <c r="M14" i="1" a="1"/>
  <c r="L14" i="1" a="1"/>
  <c r="K14" i="1" a="1"/>
  <c r="J14" i="1" a="1"/>
  <c r="I14" i="1" a="1"/>
  <c r="H14" i="1" a="1"/>
  <c r="G14" i="1" a="1"/>
  <c r="F14" i="1" a="1"/>
  <c r="E14" i="1" a="1"/>
  <c r="W13" i="1" a="1"/>
  <c r="V13" i="1" a="1"/>
  <c r="S13" i="1" a="1"/>
  <c r="R13" i="1" a="1"/>
  <c r="Q13" i="1" a="1"/>
  <c r="P13" i="1" a="1"/>
  <c r="U13" i="1" a="1"/>
  <c r="T13" i="1" a="1"/>
  <c r="O13" i="1" a="1"/>
  <c r="N13" i="1" a="1"/>
  <c r="M13" i="1" a="1"/>
  <c r="L13" i="1" a="1"/>
  <c r="K13" i="1" a="1"/>
  <c r="J13" i="1" a="1"/>
  <c r="I13" i="1" a="1"/>
  <c r="H13" i="1" a="1"/>
  <c r="G13" i="1" a="1"/>
  <c r="F13" i="1" a="1"/>
  <c r="E13" i="1" a="1"/>
  <c r="W12" i="1" a="1"/>
  <c r="V12" i="1" a="1"/>
  <c r="S12" i="1" a="1"/>
  <c r="R12" i="1" a="1"/>
  <c r="Q12" i="1" a="1"/>
  <c r="P12" i="1" a="1"/>
  <c r="U12" i="1" a="1"/>
  <c r="T12" i="1" a="1"/>
  <c r="O12" i="1" a="1"/>
  <c r="N12" i="1" a="1"/>
  <c r="M12" i="1" a="1"/>
  <c r="L12" i="1" a="1"/>
  <c r="K12" i="1" a="1"/>
  <c r="J12" i="1" a="1"/>
  <c r="I12" i="1" a="1"/>
  <c r="H12" i="1" a="1"/>
  <c r="G12" i="1" a="1"/>
  <c r="F12" i="1" a="1"/>
  <c r="E12" i="1" a="1"/>
  <c r="W11" i="1" a="1"/>
  <c r="V11" i="1" a="1"/>
  <c r="S11" i="1" a="1"/>
  <c r="R11" i="1" a="1"/>
  <c r="Q11" i="1" a="1"/>
  <c r="P11" i="1" a="1"/>
  <c r="U11" i="1" a="1"/>
  <c r="T11" i="1" a="1"/>
  <c r="O11" i="1" a="1"/>
  <c r="N11" i="1" a="1"/>
  <c r="M11" i="1" a="1"/>
  <c r="L11" i="1" a="1"/>
  <c r="K11" i="1" a="1"/>
  <c r="J11" i="1" a="1"/>
  <c r="I11" i="1" a="1"/>
  <c r="H11" i="1" a="1"/>
  <c r="G11" i="1" a="1"/>
  <c r="F11" i="1" a="1"/>
  <c r="E11" i="1" a="1"/>
  <c r="W10" i="1" a="1"/>
  <c r="V10" i="1" a="1"/>
  <c r="S10" i="1" a="1"/>
  <c r="R10" i="1" a="1"/>
  <c r="Q10" i="1" a="1"/>
  <c r="P10" i="1" a="1"/>
  <c r="U10" i="1" a="1"/>
  <c r="T10" i="1" a="1"/>
  <c r="O10" i="1" a="1"/>
  <c r="N10" i="1" a="1"/>
  <c r="M10" i="1" a="1"/>
  <c r="L10" i="1" a="1"/>
  <c r="K10" i="1" a="1"/>
  <c r="J10" i="1" a="1"/>
  <c r="I10" i="1" a="1"/>
  <c r="H10" i="1" a="1"/>
  <c r="G10" i="1" a="1"/>
  <c r="F10" i="1" a="1"/>
  <c r="E10" i="1" a="1"/>
  <c r="W9" i="1" a="1"/>
  <c r="V9" i="1" a="1"/>
  <c r="S9" i="1" a="1"/>
  <c r="R9" i="1" a="1"/>
  <c r="Q9" i="1" a="1"/>
  <c r="P9" i="1" a="1"/>
  <c r="U9" i="1" a="1"/>
  <c r="T9" i="1" a="1"/>
  <c r="O9" i="1" a="1"/>
  <c r="N9" i="1" a="1"/>
  <c r="M9" i="1" a="1"/>
  <c r="L9" i="1" a="1"/>
  <c r="K9" i="1" a="1"/>
  <c r="J9" i="1" a="1"/>
  <c r="I9" i="1" a="1"/>
  <c r="H9" i="1" a="1"/>
  <c r="G9" i="1" a="1"/>
  <c r="F9" i="1" a="1"/>
  <c r="E9" i="1" a="1"/>
  <c r="W8" i="1" a="1"/>
  <c r="V8" i="1" a="1"/>
  <c r="S8" i="1" a="1"/>
  <c r="R8" i="1" a="1"/>
  <c r="Q8" i="1" a="1"/>
  <c r="P8" i="1" a="1"/>
  <c r="U8" i="1" a="1"/>
  <c r="T8" i="1" a="1"/>
  <c r="O8" i="1" a="1"/>
  <c r="N8" i="1" a="1"/>
  <c r="M8" i="1" a="1"/>
  <c r="L8" i="1" a="1"/>
  <c r="K8" i="1" a="1"/>
  <c r="J8" i="1" a="1"/>
  <c r="I8" i="1" a="1"/>
  <c r="H8" i="1" a="1"/>
  <c r="G8" i="1" a="1"/>
  <c r="F8" i="1" a="1"/>
  <c r="E8" i="1" a="1"/>
  <c r="D9" i="1" a="1"/>
  <c r="D10" i="1" a="1"/>
  <c r="D11" i="1" a="1"/>
  <c r="D12" i="1" a="1"/>
  <c r="D13" i="1" a="1"/>
  <c r="D14" i="1" a="1"/>
  <c r="D15" i="1" a="1"/>
  <c r="D16" i="1" a="1"/>
  <c r="D17" i="1" a="1"/>
  <c r="D18" i="1" a="1"/>
  <c r="D19" i="1" a="1"/>
  <c r="D20" i="1" a="1"/>
  <c r="D21" i="1" a="1"/>
  <c r="D22" i="1" a="1"/>
  <c r="D23" i="1" a="1"/>
  <c r="D24" i="1" a="1"/>
  <c r="D25" i="1" a="1"/>
  <c r="D26" i="1" a="1"/>
  <c r="D27" i="1" a="1"/>
  <c r="D28" i="1" a="1"/>
  <c r="D29" i="1" a="1"/>
  <c r="D30" i="1" a="1"/>
  <c r="D31" i="1" a="1"/>
  <c r="D32" i="1" a="1"/>
  <c r="D33" i="1" a="1"/>
  <c r="D34" i="1" a="1"/>
  <c r="D35" i="1" a="1"/>
  <c r="D36" i="1" a="1"/>
  <c r="D37" i="1" a="1"/>
  <c r="D38" i="1" a="1"/>
  <c r="D39" i="1" a="1"/>
  <c r="D40" i="1" a="1"/>
  <c r="D8" i="1" a="1"/>
  <c r="B10" i="3" l="1"/>
  <c r="B11" i="3"/>
  <c r="E10" i="3" l="1"/>
  <c r="F10" i="3" s="1"/>
  <c r="G10" i="3" s="1"/>
  <c r="E11" i="3"/>
  <c r="F11" i="3" s="1"/>
  <c r="G11" i="3" s="1"/>
  <c r="E12" i="3"/>
  <c r="F12" i="3" s="1"/>
  <c r="G12" i="3" s="1"/>
  <c r="E13" i="3"/>
  <c r="F13" i="3" s="1"/>
  <c r="G13" i="3" s="1"/>
  <c r="E14" i="3"/>
  <c r="F14" i="3" s="1"/>
  <c r="G14" i="3" s="1"/>
  <c r="E2" i="3"/>
  <c r="F2" i="3" s="1"/>
  <c r="G2" i="3" s="1"/>
  <c r="E3" i="3"/>
  <c r="F3" i="3" s="1"/>
  <c r="G3" i="3" s="1"/>
  <c r="E4" i="3"/>
  <c r="F4" i="3" s="1"/>
  <c r="G4" i="3" s="1"/>
  <c r="E5" i="3"/>
  <c r="F5" i="3" s="1"/>
  <c r="G5" i="3" s="1"/>
  <c r="E6" i="3"/>
  <c r="F6" i="3" s="1"/>
  <c r="G6" i="3" s="1"/>
  <c r="E7" i="3"/>
  <c r="F7" i="3" s="1"/>
  <c r="G7" i="3" s="1"/>
  <c r="E8" i="3"/>
  <c r="F8" i="3" s="1"/>
  <c r="G8" i="3" s="1"/>
  <c r="E9" i="3"/>
  <c r="F9" i="3" s="1"/>
  <c r="G9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<sst xmlns="http://schemas.openxmlformats.org/spreadsheetml/2006/main" count="109" uniqueCount="85">
  <si>
    <t>Values:</t>
  </si>
  <si>
    <t>Prebias:</t>
  </si>
  <si>
    <t>Postbias:</t>
  </si>
  <si>
    <t>Spacing:</t>
  </si>
  <si>
    <t>Floor</t>
  </si>
  <si>
    <t>Ceil</t>
  </si>
  <si>
    <t>Nearest
(halves low)</t>
  </si>
  <si>
    <t>Nearest
(halves high)</t>
  </si>
  <si>
    <t>Nearest pixel
center (low)</t>
  </si>
  <si>
    <t>Ceil pixel
center</t>
  </si>
  <si>
    <t>Floor pixel
center</t>
  </si>
  <si>
    <t>Nearest pixel
center (high)</t>
  </si>
  <si>
    <t>Floor every 2</t>
  </si>
  <si>
    <t>Ceil every 2</t>
  </si>
  <si>
    <t>Nearest 2 (halves high)</t>
  </si>
  <si>
    <t>Modified: Floor every 2</t>
  </si>
  <si>
    <t>Modified: Nearest 2 (halves high)</t>
  </si>
  <si>
    <t>Modified: Ceil every 2</t>
  </si>
  <si>
    <t>Floor each 1/2</t>
  </si>
  <si>
    <t>Ceil each 1/2</t>
  </si>
  <si>
    <t>Modified: Nearest 2 (halves low)</t>
  </si>
  <si>
    <t>Nearest 2 (halves low)</t>
  </si>
  <si>
    <t>Floor each 2 (offset 1)</t>
  </si>
  <si>
    <t>Midbias:</t>
  </si>
  <si>
    <t>Rounding:</t>
  </si>
  <si>
    <t>floor</t>
  </si>
  <si>
    <t>ceil</t>
  </si>
  <si>
    <t>none</t>
  </si>
  <si>
    <t>left/low</t>
  </si>
  <si>
    <t>right/high</t>
  </si>
  <si>
    <t>nearest-left</t>
  </si>
  <si>
    <t>nearest-right</t>
  </si>
  <si>
    <t>center-left</t>
  </si>
  <si>
    <t>center-right</t>
  </si>
  <si>
    <t>nearest-center-left</t>
  </si>
  <si>
    <t>nearest-center-right</t>
  </si>
  <si>
    <t>evenodd(2*ppuc)</t>
  </si>
  <si>
    <t>evenodd(3*ppuc)</t>
  </si>
  <si>
    <t>1 0 0</t>
  </si>
  <si>
    <t>1 -.5 0</t>
  </si>
  <si>
    <t>1 .5 0</t>
  </si>
  <si>
    <t>1 .5 -.5</t>
  </si>
  <si>
    <t>1 -.5 .5</t>
  </si>
  <si>
    <t>1 0 -.5</t>
  </si>
  <si>
    <t>1 0 .5</t>
  </si>
  <si>
    <t>0.5 0 0</t>
  </si>
  <si>
    <t>2 0 0</t>
  </si>
  <si>
    <t>2 -.5 .5</t>
  </si>
  <si>
    <t>2 .5 -.5</t>
  </si>
  <si>
    <t>2 -.75 .75</t>
  </si>
  <si>
    <t>-</t>
  </si>
  <si>
    <t>x</t>
  </si>
  <si>
    <t>floor(x)</t>
  </si>
  <si>
    <t>ceil(x)</t>
  </si>
  <si>
    <t>ceil(x-.5)</t>
  </si>
  <si>
    <t>floor(x+.5)</t>
  </si>
  <si>
    <t>floor(x+.5)-.5</t>
  </si>
  <si>
    <t>ceil(x-.5)+.5</t>
  </si>
  <si>
    <t>ceil(x)-.5</t>
  </si>
  <si>
    <t>floor(x)+.5</t>
  </si>
  <si>
    <t>floor(x*2)/2</t>
  </si>
  <si>
    <t>floor(x/2)*2</t>
  </si>
  <si>
    <t>floor((x-.5)/2)*2+.5</t>
  </si>
  <si>
    <t>floor((x+.5)/2)*2-.5</t>
  </si>
  <si>
    <t>ceil((x-.5)/2)*2+.5</t>
  </si>
  <si>
    <t>floor((x-.75)/2)*2+.75</t>
  </si>
  <si>
    <t>ceil(x-0.5)</t>
  </si>
  <si>
    <t>Possible:</t>
  </si>
  <si>
    <t>in, out, in-nearest, out-nearest, in-center, out-center, in-center-nearest, out-center-nearest</t>
  </si>
  <si>
    <t>X</t>
  </si>
  <si>
    <t>Prerounding</t>
  </si>
  <si>
    <t>Rounded</t>
  </si>
  <si>
    <t>Postrounded</t>
  </si>
  <si>
    <t>UnscaledBias</t>
  </si>
  <si>
    <t>Prebias</t>
  </si>
  <si>
    <t>Postbias</t>
  </si>
  <si>
    <t>PPU</t>
  </si>
  <si>
    <t>Multiple</t>
  </si>
  <si>
    <t>BiasModulus</t>
  </si>
  <si>
    <t>ScaledBias</t>
  </si>
  <si>
    <t>TruncatedScaledBias</t>
  </si>
  <si>
    <t>TotalPreBias</t>
  </si>
  <si>
    <t>TotalPostBias</t>
  </si>
  <si>
    <t>Coordinate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</si>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</sst>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 wrapText="1"/>
    </xf>
    <xf numFmtId="0" fontId="0" fillId="0" borderId="4" xfId="0" quotePrefix="1" applyBorder="1"/>
    <xf numFmtId="0" fontId="0" fillId="0" borderId="5" xfId="0" quotePrefix="1" applyBorder="1"/>
    <xf numFmtId="0" fontId="0" fillId="0" borderId="6" xfId="0" quotePrefix="1" applyBorder="1"/>
    <xf numFmtId="0" fontId="0" fillId="0" borderId="7" xfId="0" quotePrefix="1" applyBorder="1"/>
    <xf numFmtId="0" fontId="0" fillId="0" borderId="8" xfId="0" quotePrefix="1" applyBorder="1"/>
    <xf numFmtId="0" fontId="1" fillId="0" borderId="1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 wrapText="1"/>
    </xf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0" fillId="0" borderId="0" xfId="0" quotePrefix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164" fontId="3" fillId="2" borderId="0" xfId="1" applyNumberFormat="1" applyFont="1" applyFill="1"/>
    <xf numFmtId="0" fontId="3" fillId="2" borderId="0" xfId="1" applyFont="1" applyFill="1"/>
    <xf numFmtId="0" fontId="2" fillId="0" borderId="0" xfId="1"/>
    <xf numFmtId="164" fontId="3" fillId="0" borderId="0" xfId="1" applyNumberFormat="1" applyFont="1"/>
    <xf numFmtId="0" fontId="3" fillId="0" borderId="0" xfId="1" applyFont="1" applyAlignment="1">
      <alignment horizontal="right"/>
    </xf>
    <xf numFmtId="2" fontId="3" fillId="0" borderId="0" xfId="1" applyNumberFormat="1" applyFont="1" applyAlignment="1">
      <alignment horizontal="right"/>
    </xf>
    <xf numFmtId="0" fontId="3" fillId="0" borderId="0" xfId="1" applyFont="1"/>
    <xf numFmtId="2" fontId="2" fillId="0" borderId="0" xfId="1" applyNumberFormat="1" applyAlignment="1">
      <alignment horizontal="right"/>
    </xf>
    <xf numFmtId="2" fontId="2" fillId="2" borderId="0" xfId="1" applyNumberFormat="1" applyFill="1"/>
    <xf numFmtId="0" fontId="2" fillId="2" borderId="0" xfId="1" applyFill="1" applyAlignment="1">
      <alignment horizontal="right"/>
    </xf>
    <xf numFmtId="0" fontId="2" fillId="2" borderId="0" xfId="1" applyFill="1"/>
    <xf numFmtId="2" fontId="2" fillId="0" borderId="0" xfId="1" applyNumberFormat="1"/>
  </cellXfs>
  <cellStyles count="2">
    <cellStyle name="Normal" xfId="0" builtinId="0"/>
    <cellStyle name="Normal 2" xfId="1" xr:uid="{010D54BD-D913-412B-B78F-9B9F3F095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2488-10B2-488F-A871-24FAADE4964B}">
  <dimension ref="A1:IT16"/>
  <sheetViews>
    <sheetView tabSelected="1" workbookViewId="0"/>
  </sheetViews>
  <sheetFormatPr defaultRowHeight="12.75" outlineLevelRow="1" x14ac:dyDescent="0.2"/>
  <cols>
    <col min="1" max="1" width="20.5703125" style="28" bestFit="1" customWidth="1"/>
    <col min="2" max="3" width="9.140625" style="24"/>
    <col min="4" max="4" width="8" style="29" customWidth="1"/>
    <col min="5" max="7" width="14" style="33" customWidth="1"/>
    <col min="8" max="256" width="9.140625" style="24"/>
    <col min="257" max="257" width="17.28515625" style="24" customWidth="1"/>
    <col min="258" max="259" width="9.140625" style="24"/>
    <col min="260" max="260" width="8" style="24" customWidth="1"/>
    <col min="261" max="261" width="10.28515625" style="24" customWidth="1"/>
    <col min="262" max="262" width="8" style="24" customWidth="1"/>
    <col min="263" max="263" width="10.42578125" style="24" customWidth="1"/>
    <col min="264" max="512" width="9.140625" style="24"/>
    <col min="513" max="513" width="17.28515625" style="24" customWidth="1"/>
    <col min="514" max="515" width="9.140625" style="24"/>
    <col min="516" max="516" width="8" style="24" customWidth="1"/>
    <col min="517" max="517" width="10.28515625" style="24" customWidth="1"/>
    <col min="518" max="518" width="8" style="24" customWidth="1"/>
    <col min="519" max="519" width="10.42578125" style="24" customWidth="1"/>
    <col min="520" max="768" width="9.140625" style="24"/>
    <col min="769" max="769" width="17.28515625" style="24" customWidth="1"/>
    <col min="770" max="771" width="9.140625" style="24"/>
    <col min="772" max="772" width="8" style="24" customWidth="1"/>
    <col min="773" max="773" width="10.28515625" style="24" customWidth="1"/>
    <col min="774" max="774" width="8" style="24" customWidth="1"/>
    <col min="775" max="775" width="10.42578125" style="24" customWidth="1"/>
    <col min="776" max="1024" width="9.140625" style="24"/>
    <col min="1025" max="1025" width="17.28515625" style="24" customWidth="1"/>
    <col min="1026" max="1027" width="9.140625" style="24"/>
    <col min="1028" max="1028" width="8" style="24" customWidth="1"/>
    <col min="1029" max="1029" width="10.28515625" style="24" customWidth="1"/>
    <col min="1030" max="1030" width="8" style="24" customWidth="1"/>
    <col min="1031" max="1031" width="10.42578125" style="24" customWidth="1"/>
    <col min="1032" max="1280" width="9.140625" style="24"/>
    <col min="1281" max="1281" width="17.28515625" style="24" customWidth="1"/>
    <col min="1282" max="1283" width="9.140625" style="24"/>
    <col min="1284" max="1284" width="8" style="24" customWidth="1"/>
    <col min="1285" max="1285" width="10.28515625" style="24" customWidth="1"/>
    <col min="1286" max="1286" width="8" style="24" customWidth="1"/>
    <col min="1287" max="1287" width="10.42578125" style="24" customWidth="1"/>
    <col min="1288" max="1536" width="9.140625" style="24"/>
    <col min="1537" max="1537" width="17.28515625" style="24" customWidth="1"/>
    <col min="1538" max="1539" width="9.140625" style="24"/>
    <col min="1540" max="1540" width="8" style="24" customWidth="1"/>
    <col min="1541" max="1541" width="10.28515625" style="24" customWidth="1"/>
    <col min="1542" max="1542" width="8" style="24" customWidth="1"/>
    <col min="1543" max="1543" width="10.42578125" style="24" customWidth="1"/>
    <col min="1544" max="1792" width="9.140625" style="24"/>
    <col min="1793" max="1793" width="17.28515625" style="24" customWidth="1"/>
    <col min="1794" max="1795" width="9.140625" style="24"/>
    <col min="1796" max="1796" width="8" style="24" customWidth="1"/>
    <col min="1797" max="1797" width="10.28515625" style="24" customWidth="1"/>
    <col min="1798" max="1798" width="8" style="24" customWidth="1"/>
    <col min="1799" max="1799" width="10.42578125" style="24" customWidth="1"/>
    <col min="1800" max="2048" width="9.140625" style="24"/>
    <col min="2049" max="2049" width="17.28515625" style="24" customWidth="1"/>
    <col min="2050" max="2051" width="9.140625" style="24"/>
    <col min="2052" max="2052" width="8" style="24" customWidth="1"/>
    <col min="2053" max="2053" width="10.28515625" style="24" customWidth="1"/>
    <col min="2054" max="2054" width="8" style="24" customWidth="1"/>
    <col min="2055" max="2055" width="10.42578125" style="24" customWidth="1"/>
    <col min="2056" max="2304" width="9.140625" style="24"/>
    <col min="2305" max="2305" width="17.28515625" style="24" customWidth="1"/>
    <col min="2306" max="2307" width="9.140625" style="24"/>
    <col min="2308" max="2308" width="8" style="24" customWidth="1"/>
    <col min="2309" max="2309" width="10.28515625" style="24" customWidth="1"/>
    <col min="2310" max="2310" width="8" style="24" customWidth="1"/>
    <col min="2311" max="2311" width="10.42578125" style="24" customWidth="1"/>
    <col min="2312" max="2560" width="9.140625" style="24"/>
    <col min="2561" max="2561" width="17.28515625" style="24" customWidth="1"/>
    <col min="2562" max="2563" width="9.140625" style="24"/>
    <col min="2564" max="2564" width="8" style="24" customWidth="1"/>
    <col min="2565" max="2565" width="10.28515625" style="24" customWidth="1"/>
    <col min="2566" max="2566" width="8" style="24" customWidth="1"/>
    <col min="2567" max="2567" width="10.42578125" style="24" customWidth="1"/>
    <col min="2568" max="2816" width="9.140625" style="24"/>
    <col min="2817" max="2817" width="17.28515625" style="24" customWidth="1"/>
    <col min="2818" max="2819" width="9.140625" style="24"/>
    <col min="2820" max="2820" width="8" style="24" customWidth="1"/>
    <col min="2821" max="2821" width="10.28515625" style="24" customWidth="1"/>
    <col min="2822" max="2822" width="8" style="24" customWidth="1"/>
    <col min="2823" max="2823" width="10.42578125" style="24" customWidth="1"/>
    <col min="2824" max="3072" width="9.140625" style="24"/>
    <col min="3073" max="3073" width="17.28515625" style="24" customWidth="1"/>
    <col min="3074" max="3075" width="9.140625" style="24"/>
    <col min="3076" max="3076" width="8" style="24" customWidth="1"/>
    <col min="3077" max="3077" width="10.28515625" style="24" customWidth="1"/>
    <col min="3078" max="3078" width="8" style="24" customWidth="1"/>
    <col min="3079" max="3079" width="10.42578125" style="24" customWidth="1"/>
    <col min="3080" max="3328" width="9.140625" style="24"/>
    <col min="3329" max="3329" width="17.28515625" style="24" customWidth="1"/>
    <col min="3330" max="3331" width="9.140625" style="24"/>
    <col min="3332" max="3332" width="8" style="24" customWidth="1"/>
    <col min="3333" max="3333" width="10.28515625" style="24" customWidth="1"/>
    <col min="3334" max="3334" width="8" style="24" customWidth="1"/>
    <col min="3335" max="3335" width="10.42578125" style="24" customWidth="1"/>
    <col min="3336" max="3584" width="9.140625" style="24"/>
    <col min="3585" max="3585" width="17.28515625" style="24" customWidth="1"/>
    <col min="3586" max="3587" width="9.140625" style="24"/>
    <col min="3588" max="3588" width="8" style="24" customWidth="1"/>
    <col min="3589" max="3589" width="10.28515625" style="24" customWidth="1"/>
    <col min="3590" max="3590" width="8" style="24" customWidth="1"/>
    <col min="3591" max="3591" width="10.42578125" style="24" customWidth="1"/>
    <col min="3592" max="3840" width="9.140625" style="24"/>
    <col min="3841" max="3841" width="17.28515625" style="24" customWidth="1"/>
    <col min="3842" max="3843" width="9.140625" style="24"/>
    <col min="3844" max="3844" width="8" style="24" customWidth="1"/>
    <col min="3845" max="3845" width="10.28515625" style="24" customWidth="1"/>
    <col min="3846" max="3846" width="8" style="24" customWidth="1"/>
    <col min="3847" max="3847" width="10.42578125" style="24" customWidth="1"/>
    <col min="3848" max="4096" width="9.140625" style="24"/>
    <col min="4097" max="4097" width="17.28515625" style="24" customWidth="1"/>
    <col min="4098" max="4099" width="9.140625" style="24"/>
    <col min="4100" max="4100" width="8" style="24" customWidth="1"/>
    <col min="4101" max="4101" width="10.28515625" style="24" customWidth="1"/>
    <col min="4102" max="4102" width="8" style="24" customWidth="1"/>
    <col min="4103" max="4103" width="10.42578125" style="24" customWidth="1"/>
    <col min="4104" max="4352" width="9.140625" style="24"/>
    <col min="4353" max="4353" width="17.28515625" style="24" customWidth="1"/>
    <col min="4354" max="4355" width="9.140625" style="24"/>
    <col min="4356" max="4356" width="8" style="24" customWidth="1"/>
    <col min="4357" max="4357" width="10.28515625" style="24" customWidth="1"/>
    <col min="4358" max="4358" width="8" style="24" customWidth="1"/>
    <col min="4359" max="4359" width="10.42578125" style="24" customWidth="1"/>
    <col min="4360" max="4608" width="9.140625" style="24"/>
    <col min="4609" max="4609" width="17.28515625" style="24" customWidth="1"/>
    <col min="4610" max="4611" width="9.140625" style="24"/>
    <col min="4612" max="4612" width="8" style="24" customWidth="1"/>
    <col min="4613" max="4613" width="10.28515625" style="24" customWidth="1"/>
    <col min="4614" max="4614" width="8" style="24" customWidth="1"/>
    <col min="4615" max="4615" width="10.42578125" style="24" customWidth="1"/>
    <col min="4616" max="4864" width="9.140625" style="24"/>
    <col min="4865" max="4865" width="17.28515625" style="24" customWidth="1"/>
    <col min="4866" max="4867" width="9.140625" style="24"/>
    <col min="4868" max="4868" width="8" style="24" customWidth="1"/>
    <col min="4869" max="4869" width="10.28515625" style="24" customWidth="1"/>
    <col min="4870" max="4870" width="8" style="24" customWidth="1"/>
    <col min="4871" max="4871" width="10.42578125" style="24" customWidth="1"/>
    <col min="4872" max="5120" width="9.140625" style="24"/>
    <col min="5121" max="5121" width="17.28515625" style="24" customWidth="1"/>
    <col min="5122" max="5123" width="9.140625" style="24"/>
    <col min="5124" max="5124" width="8" style="24" customWidth="1"/>
    <col min="5125" max="5125" width="10.28515625" style="24" customWidth="1"/>
    <col min="5126" max="5126" width="8" style="24" customWidth="1"/>
    <col min="5127" max="5127" width="10.42578125" style="24" customWidth="1"/>
    <col min="5128" max="5376" width="9.140625" style="24"/>
    <col min="5377" max="5377" width="17.28515625" style="24" customWidth="1"/>
    <col min="5378" max="5379" width="9.140625" style="24"/>
    <col min="5380" max="5380" width="8" style="24" customWidth="1"/>
    <col min="5381" max="5381" width="10.28515625" style="24" customWidth="1"/>
    <col min="5382" max="5382" width="8" style="24" customWidth="1"/>
    <col min="5383" max="5383" width="10.42578125" style="24" customWidth="1"/>
    <col min="5384" max="5632" width="9.140625" style="24"/>
    <col min="5633" max="5633" width="17.28515625" style="24" customWidth="1"/>
    <col min="5634" max="5635" width="9.140625" style="24"/>
    <col min="5636" max="5636" width="8" style="24" customWidth="1"/>
    <col min="5637" max="5637" width="10.28515625" style="24" customWidth="1"/>
    <col min="5638" max="5638" width="8" style="24" customWidth="1"/>
    <col min="5639" max="5639" width="10.42578125" style="24" customWidth="1"/>
    <col min="5640" max="5888" width="9.140625" style="24"/>
    <col min="5889" max="5889" width="17.28515625" style="24" customWidth="1"/>
    <col min="5890" max="5891" width="9.140625" style="24"/>
    <col min="5892" max="5892" width="8" style="24" customWidth="1"/>
    <col min="5893" max="5893" width="10.28515625" style="24" customWidth="1"/>
    <col min="5894" max="5894" width="8" style="24" customWidth="1"/>
    <col min="5895" max="5895" width="10.42578125" style="24" customWidth="1"/>
    <col min="5896" max="6144" width="9.140625" style="24"/>
    <col min="6145" max="6145" width="17.28515625" style="24" customWidth="1"/>
    <col min="6146" max="6147" width="9.140625" style="24"/>
    <col min="6148" max="6148" width="8" style="24" customWidth="1"/>
    <col min="6149" max="6149" width="10.28515625" style="24" customWidth="1"/>
    <col min="6150" max="6150" width="8" style="24" customWidth="1"/>
    <col min="6151" max="6151" width="10.42578125" style="24" customWidth="1"/>
    <col min="6152" max="6400" width="9.140625" style="24"/>
    <col min="6401" max="6401" width="17.28515625" style="24" customWidth="1"/>
    <col min="6402" max="6403" width="9.140625" style="24"/>
    <col min="6404" max="6404" width="8" style="24" customWidth="1"/>
    <col min="6405" max="6405" width="10.28515625" style="24" customWidth="1"/>
    <col min="6406" max="6406" width="8" style="24" customWidth="1"/>
    <col min="6407" max="6407" width="10.42578125" style="24" customWidth="1"/>
    <col min="6408" max="6656" width="9.140625" style="24"/>
    <col min="6657" max="6657" width="17.28515625" style="24" customWidth="1"/>
    <col min="6658" max="6659" width="9.140625" style="24"/>
    <col min="6660" max="6660" width="8" style="24" customWidth="1"/>
    <col min="6661" max="6661" width="10.28515625" style="24" customWidth="1"/>
    <col min="6662" max="6662" width="8" style="24" customWidth="1"/>
    <col min="6663" max="6663" width="10.42578125" style="24" customWidth="1"/>
    <col min="6664" max="6912" width="9.140625" style="24"/>
    <col min="6913" max="6913" width="17.28515625" style="24" customWidth="1"/>
    <col min="6914" max="6915" width="9.140625" style="24"/>
    <col min="6916" max="6916" width="8" style="24" customWidth="1"/>
    <col min="6917" max="6917" width="10.28515625" style="24" customWidth="1"/>
    <col min="6918" max="6918" width="8" style="24" customWidth="1"/>
    <col min="6919" max="6919" width="10.42578125" style="24" customWidth="1"/>
    <col min="6920" max="7168" width="9.140625" style="24"/>
    <col min="7169" max="7169" width="17.28515625" style="24" customWidth="1"/>
    <col min="7170" max="7171" width="9.140625" style="24"/>
    <col min="7172" max="7172" width="8" style="24" customWidth="1"/>
    <col min="7173" max="7173" width="10.28515625" style="24" customWidth="1"/>
    <col min="7174" max="7174" width="8" style="24" customWidth="1"/>
    <col min="7175" max="7175" width="10.42578125" style="24" customWidth="1"/>
    <col min="7176" max="7424" width="9.140625" style="24"/>
    <col min="7425" max="7425" width="17.28515625" style="24" customWidth="1"/>
    <col min="7426" max="7427" width="9.140625" style="24"/>
    <col min="7428" max="7428" width="8" style="24" customWidth="1"/>
    <col min="7429" max="7429" width="10.28515625" style="24" customWidth="1"/>
    <col min="7430" max="7430" width="8" style="24" customWidth="1"/>
    <col min="7431" max="7431" width="10.42578125" style="24" customWidth="1"/>
    <col min="7432" max="7680" width="9.140625" style="24"/>
    <col min="7681" max="7681" width="17.28515625" style="24" customWidth="1"/>
    <col min="7682" max="7683" width="9.140625" style="24"/>
    <col min="7684" max="7684" width="8" style="24" customWidth="1"/>
    <col min="7685" max="7685" width="10.28515625" style="24" customWidth="1"/>
    <col min="7686" max="7686" width="8" style="24" customWidth="1"/>
    <col min="7687" max="7687" width="10.42578125" style="24" customWidth="1"/>
    <col min="7688" max="7936" width="9.140625" style="24"/>
    <col min="7937" max="7937" width="17.28515625" style="24" customWidth="1"/>
    <col min="7938" max="7939" width="9.140625" style="24"/>
    <col min="7940" max="7940" width="8" style="24" customWidth="1"/>
    <col min="7941" max="7941" width="10.28515625" style="24" customWidth="1"/>
    <col min="7942" max="7942" width="8" style="24" customWidth="1"/>
    <col min="7943" max="7943" width="10.42578125" style="24" customWidth="1"/>
    <col min="7944" max="8192" width="9.140625" style="24"/>
    <col min="8193" max="8193" width="17.28515625" style="24" customWidth="1"/>
    <col min="8194" max="8195" width="9.140625" style="24"/>
    <col min="8196" max="8196" width="8" style="24" customWidth="1"/>
    <col min="8197" max="8197" width="10.28515625" style="24" customWidth="1"/>
    <col min="8198" max="8198" width="8" style="24" customWidth="1"/>
    <col min="8199" max="8199" width="10.42578125" style="24" customWidth="1"/>
    <col min="8200" max="8448" width="9.140625" style="24"/>
    <col min="8449" max="8449" width="17.28515625" style="24" customWidth="1"/>
    <col min="8450" max="8451" width="9.140625" style="24"/>
    <col min="8452" max="8452" width="8" style="24" customWidth="1"/>
    <col min="8453" max="8453" width="10.28515625" style="24" customWidth="1"/>
    <col min="8454" max="8454" width="8" style="24" customWidth="1"/>
    <col min="8455" max="8455" width="10.42578125" style="24" customWidth="1"/>
    <col min="8456" max="8704" width="9.140625" style="24"/>
    <col min="8705" max="8705" width="17.28515625" style="24" customWidth="1"/>
    <col min="8706" max="8707" width="9.140625" style="24"/>
    <col min="8708" max="8708" width="8" style="24" customWidth="1"/>
    <col min="8709" max="8709" width="10.28515625" style="24" customWidth="1"/>
    <col min="8710" max="8710" width="8" style="24" customWidth="1"/>
    <col min="8711" max="8711" width="10.42578125" style="24" customWidth="1"/>
    <col min="8712" max="8960" width="9.140625" style="24"/>
    <col min="8961" max="8961" width="17.28515625" style="24" customWidth="1"/>
    <col min="8962" max="8963" width="9.140625" style="24"/>
    <col min="8964" max="8964" width="8" style="24" customWidth="1"/>
    <col min="8965" max="8965" width="10.28515625" style="24" customWidth="1"/>
    <col min="8966" max="8966" width="8" style="24" customWidth="1"/>
    <col min="8967" max="8967" width="10.42578125" style="24" customWidth="1"/>
    <col min="8968" max="9216" width="9.140625" style="24"/>
    <col min="9217" max="9217" width="17.28515625" style="24" customWidth="1"/>
    <col min="9218" max="9219" width="9.140625" style="24"/>
    <col min="9220" max="9220" width="8" style="24" customWidth="1"/>
    <col min="9221" max="9221" width="10.28515625" style="24" customWidth="1"/>
    <col min="9222" max="9222" width="8" style="24" customWidth="1"/>
    <col min="9223" max="9223" width="10.42578125" style="24" customWidth="1"/>
    <col min="9224" max="9472" width="9.140625" style="24"/>
    <col min="9473" max="9473" width="17.28515625" style="24" customWidth="1"/>
    <col min="9474" max="9475" width="9.140625" style="24"/>
    <col min="9476" max="9476" width="8" style="24" customWidth="1"/>
    <col min="9477" max="9477" width="10.28515625" style="24" customWidth="1"/>
    <col min="9478" max="9478" width="8" style="24" customWidth="1"/>
    <col min="9479" max="9479" width="10.42578125" style="24" customWidth="1"/>
    <col min="9480" max="9728" width="9.140625" style="24"/>
    <col min="9729" max="9729" width="17.28515625" style="24" customWidth="1"/>
    <col min="9730" max="9731" width="9.140625" style="24"/>
    <col min="9732" max="9732" width="8" style="24" customWidth="1"/>
    <col min="9733" max="9733" width="10.28515625" style="24" customWidth="1"/>
    <col min="9734" max="9734" width="8" style="24" customWidth="1"/>
    <col min="9735" max="9735" width="10.42578125" style="24" customWidth="1"/>
    <col min="9736" max="9984" width="9.140625" style="24"/>
    <col min="9985" max="9985" width="17.28515625" style="24" customWidth="1"/>
    <col min="9986" max="9987" width="9.140625" style="24"/>
    <col min="9988" max="9988" width="8" style="24" customWidth="1"/>
    <col min="9989" max="9989" width="10.28515625" style="24" customWidth="1"/>
    <col min="9990" max="9990" width="8" style="24" customWidth="1"/>
    <col min="9991" max="9991" width="10.42578125" style="24" customWidth="1"/>
    <col min="9992" max="10240" width="9.140625" style="24"/>
    <col min="10241" max="10241" width="17.28515625" style="24" customWidth="1"/>
    <col min="10242" max="10243" width="9.140625" style="24"/>
    <col min="10244" max="10244" width="8" style="24" customWidth="1"/>
    <col min="10245" max="10245" width="10.28515625" style="24" customWidth="1"/>
    <col min="10246" max="10246" width="8" style="24" customWidth="1"/>
    <col min="10247" max="10247" width="10.42578125" style="24" customWidth="1"/>
    <col min="10248" max="10496" width="9.140625" style="24"/>
    <col min="10497" max="10497" width="17.28515625" style="24" customWidth="1"/>
    <col min="10498" max="10499" width="9.140625" style="24"/>
    <col min="10500" max="10500" width="8" style="24" customWidth="1"/>
    <col min="10501" max="10501" width="10.28515625" style="24" customWidth="1"/>
    <col min="10502" max="10502" width="8" style="24" customWidth="1"/>
    <col min="10503" max="10503" width="10.42578125" style="24" customWidth="1"/>
    <col min="10504" max="10752" width="9.140625" style="24"/>
    <col min="10753" max="10753" width="17.28515625" style="24" customWidth="1"/>
    <col min="10754" max="10755" width="9.140625" style="24"/>
    <col min="10756" max="10756" width="8" style="24" customWidth="1"/>
    <col min="10757" max="10757" width="10.28515625" style="24" customWidth="1"/>
    <col min="10758" max="10758" width="8" style="24" customWidth="1"/>
    <col min="10759" max="10759" width="10.42578125" style="24" customWidth="1"/>
    <col min="10760" max="11008" width="9.140625" style="24"/>
    <col min="11009" max="11009" width="17.28515625" style="24" customWidth="1"/>
    <col min="11010" max="11011" width="9.140625" style="24"/>
    <col min="11012" max="11012" width="8" style="24" customWidth="1"/>
    <col min="11013" max="11013" width="10.28515625" style="24" customWidth="1"/>
    <col min="11014" max="11014" width="8" style="24" customWidth="1"/>
    <col min="11015" max="11015" width="10.42578125" style="24" customWidth="1"/>
    <col min="11016" max="11264" width="9.140625" style="24"/>
    <col min="11265" max="11265" width="17.28515625" style="24" customWidth="1"/>
    <col min="11266" max="11267" width="9.140625" style="24"/>
    <col min="11268" max="11268" width="8" style="24" customWidth="1"/>
    <col min="11269" max="11269" width="10.28515625" style="24" customWidth="1"/>
    <col min="11270" max="11270" width="8" style="24" customWidth="1"/>
    <col min="11271" max="11271" width="10.42578125" style="24" customWidth="1"/>
    <col min="11272" max="11520" width="9.140625" style="24"/>
    <col min="11521" max="11521" width="17.28515625" style="24" customWidth="1"/>
    <col min="11522" max="11523" width="9.140625" style="24"/>
    <col min="11524" max="11524" width="8" style="24" customWidth="1"/>
    <col min="11525" max="11525" width="10.28515625" style="24" customWidth="1"/>
    <col min="11526" max="11526" width="8" style="24" customWidth="1"/>
    <col min="11527" max="11527" width="10.42578125" style="24" customWidth="1"/>
    <col min="11528" max="11776" width="9.140625" style="24"/>
    <col min="11777" max="11777" width="17.28515625" style="24" customWidth="1"/>
    <col min="11778" max="11779" width="9.140625" style="24"/>
    <col min="11780" max="11780" width="8" style="24" customWidth="1"/>
    <col min="11781" max="11781" width="10.28515625" style="24" customWidth="1"/>
    <col min="11782" max="11782" width="8" style="24" customWidth="1"/>
    <col min="11783" max="11783" width="10.42578125" style="24" customWidth="1"/>
    <col min="11784" max="12032" width="9.140625" style="24"/>
    <col min="12033" max="12033" width="17.28515625" style="24" customWidth="1"/>
    <col min="12034" max="12035" width="9.140625" style="24"/>
    <col min="12036" max="12036" width="8" style="24" customWidth="1"/>
    <col min="12037" max="12037" width="10.28515625" style="24" customWidth="1"/>
    <col min="12038" max="12038" width="8" style="24" customWidth="1"/>
    <col min="12039" max="12039" width="10.42578125" style="24" customWidth="1"/>
    <col min="12040" max="12288" width="9.140625" style="24"/>
    <col min="12289" max="12289" width="17.28515625" style="24" customWidth="1"/>
    <col min="12290" max="12291" width="9.140625" style="24"/>
    <col min="12292" max="12292" width="8" style="24" customWidth="1"/>
    <col min="12293" max="12293" width="10.28515625" style="24" customWidth="1"/>
    <col min="12294" max="12294" width="8" style="24" customWidth="1"/>
    <col min="12295" max="12295" width="10.42578125" style="24" customWidth="1"/>
    <col min="12296" max="12544" width="9.140625" style="24"/>
    <col min="12545" max="12545" width="17.28515625" style="24" customWidth="1"/>
    <col min="12546" max="12547" width="9.140625" style="24"/>
    <col min="12548" max="12548" width="8" style="24" customWidth="1"/>
    <col min="12549" max="12549" width="10.28515625" style="24" customWidth="1"/>
    <col min="12550" max="12550" width="8" style="24" customWidth="1"/>
    <col min="12551" max="12551" width="10.42578125" style="24" customWidth="1"/>
    <col min="12552" max="12800" width="9.140625" style="24"/>
    <col min="12801" max="12801" width="17.28515625" style="24" customWidth="1"/>
    <col min="12802" max="12803" width="9.140625" style="24"/>
    <col min="12804" max="12804" width="8" style="24" customWidth="1"/>
    <col min="12805" max="12805" width="10.28515625" style="24" customWidth="1"/>
    <col min="12806" max="12806" width="8" style="24" customWidth="1"/>
    <col min="12807" max="12807" width="10.42578125" style="24" customWidth="1"/>
    <col min="12808" max="13056" width="9.140625" style="24"/>
    <col min="13057" max="13057" width="17.28515625" style="24" customWidth="1"/>
    <col min="13058" max="13059" width="9.140625" style="24"/>
    <col min="13060" max="13060" width="8" style="24" customWidth="1"/>
    <col min="13061" max="13061" width="10.28515625" style="24" customWidth="1"/>
    <col min="13062" max="13062" width="8" style="24" customWidth="1"/>
    <col min="13063" max="13063" width="10.42578125" style="24" customWidth="1"/>
    <col min="13064" max="13312" width="9.140625" style="24"/>
    <col min="13313" max="13313" width="17.28515625" style="24" customWidth="1"/>
    <col min="13314" max="13315" width="9.140625" style="24"/>
    <col min="13316" max="13316" width="8" style="24" customWidth="1"/>
    <col min="13317" max="13317" width="10.28515625" style="24" customWidth="1"/>
    <col min="13318" max="13318" width="8" style="24" customWidth="1"/>
    <col min="13319" max="13319" width="10.42578125" style="24" customWidth="1"/>
    <col min="13320" max="13568" width="9.140625" style="24"/>
    <col min="13569" max="13569" width="17.28515625" style="24" customWidth="1"/>
    <col min="13570" max="13571" width="9.140625" style="24"/>
    <col min="13572" max="13572" width="8" style="24" customWidth="1"/>
    <col min="13573" max="13573" width="10.28515625" style="24" customWidth="1"/>
    <col min="13574" max="13574" width="8" style="24" customWidth="1"/>
    <col min="13575" max="13575" width="10.42578125" style="24" customWidth="1"/>
    <col min="13576" max="13824" width="9.140625" style="24"/>
    <col min="13825" max="13825" width="17.28515625" style="24" customWidth="1"/>
    <col min="13826" max="13827" width="9.140625" style="24"/>
    <col min="13828" max="13828" width="8" style="24" customWidth="1"/>
    <col min="13829" max="13829" width="10.28515625" style="24" customWidth="1"/>
    <col min="13830" max="13830" width="8" style="24" customWidth="1"/>
    <col min="13831" max="13831" width="10.42578125" style="24" customWidth="1"/>
    <col min="13832" max="14080" width="9.140625" style="24"/>
    <col min="14081" max="14081" width="17.28515625" style="24" customWidth="1"/>
    <col min="14082" max="14083" width="9.140625" style="24"/>
    <col min="14084" max="14084" width="8" style="24" customWidth="1"/>
    <col min="14085" max="14085" width="10.28515625" style="24" customWidth="1"/>
    <col min="14086" max="14086" width="8" style="24" customWidth="1"/>
    <col min="14087" max="14087" width="10.42578125" style="24" customWidth="1"/>
    <col min="14088" max="14336" width="9.140625" style="24"/>
    <col min="14337" max="14337" width="17.28515625" style="24" customWidth="1"/>
    <col min="14338" max="14339" width="9.140625" style="24"/>
    <col min="14340" max="14340" width="8" style="24" customWidth="1"/>
    <col min="14341" max="14341" width="10.28515625" style="24" customWidth="1"/>
    <col min="14342" max="14342" width="8" style="24" customWidth="1"/>
    <col min="14343" max="14343" width="10.42578125" style="24" customWidth="1"/>
    <col min="14344" max="14592" width="9.140625" style="24"/>
    <col min="14593" max="14593" width="17.28515625" style="24" customWidth="1"/>
    <col min="14594" max="14595" width="9.140625" style="24"/>
    <col min="14596" max="14596" width="8" style="24" customWidth="1"/>
    <col min="14597" max="14597" width="10.28515625" style="24" customWidth="1"/>
    <col min="14598" max="14598" width="8" style="24" customWidth="1"/>
    <col min="14599" max="14599" width="10.42578125" style="24" customWidth="1"/>
    <col min="14600" max="14848" width="9.140625" style="24"/>
    <col min="14849" max="14849" width="17.28515625" style="24" customWidth="1"/>
    <col min="14850" max="14851" width="9.140625" style="24"/>
    <col min="14852" max="14852" width="8" style="24" customWidth="1"/>
    <col min="14853" max="14853" width="10.28515625" style="24" customWidth="1"/>
    <col min="14854" max="14854" width="8" style="24" customWidth="1"/>
    <col min="14855" max="14855" width="10.42578125" style="24" customWidth="1"/>
    <col min="14856" max="15104" width="9.140625" style="24"/>
    <col min="15105" max="15105" width="17.28515625" style="24" customWidth="1"/>
    <col min="15106" max="15107" width="9.140625" style="24"/>
    <col min="15108" max="15108" width="8" style="24" customWidth="1"/>
    <col min="15109" max="15109" width="10.28515625" style="24" customWidth="1"/>
    <col min="15110" max="15110" width="8" style="24" customWidth="1"/>
    <col min="15111" max="15111" width="10.42578125" style="24" customWidth="1"/>
    <col min="15112" max="15360" width="9.140625" style="24"/>
    <col min="15361" max="15361" width="17.28515625" style="24" customWidth="1"/>
    <col min="15362" max="15363" width="9.140625" style="24"/>
    <col min="15364" max="15364" width="8" style="24" customWidth="1"/>
    <col min="15365" max="15365" width="10.28515625" style="24" customWidth="1"/>
    <col min="15366" max="15366" width="8" style="24" customWidth="1"/>
    <col min="15367" max="15367" width="10.42578125" style="24" customWidth="1"/>
    <col min="15368" max="15616" width="9.140625" style="24"/>
    <col min="15617" max="15617" width="17.28515625" style="24" customWidth="1"/>
    <col min="15618" max="15619" width="9.140625" style="24"/>
    <col min="15620" max="15620" width="8" style="24" customWidth="1"/>
    <col min="15621" max="15621" width="10.28515625" style="24" customWidth="1"/>
    <col min="15622" max="15622" width="8" style="24" customWidth="1"/>
    <col min="15623" max="15623" width="10.42578125" style="24" customWidth="1"/>
    <col min="15624" max="15872" width="9.140625" style="24"/>
    <col min="15873" max="15873" width="17.28515625" style="24" customWidth="1"/>
    <col min="15874" max="15875" width="9.140625" style="24"/>
    <col min="15876" max="15876" width="8" style="24" customWidth="1"/>
    <col min="15877" max="15877" width="10.28515625" style="24" customWidth="1"/>
    <col min="15878" max="15878" width="8" style="24" customWidth="1"/>
    <col min="15879" max="15879" width="10.42578125" style="24" customWidth="1"/>
    <col min="15880" max="16128" width="9.140625" style="24"/>
    <col min="16129" max="16129" width="17.28515625" style="24" customWidth="1"/>
    <col min="16130" max="16131" width="9.140625" style="24"/>
    <col min="16132" max="16132" width="8" style="24" customWidth="1"/>
    <col min="16133" max="16133" width="10.28515625" style="24" customWidth="1"/>
    <col min="16134" max="16134" width="8" style="24" customWidth="1"/>
    <col min="16135" max="16135" width="10.42578125" style="24" customWidth="1"/>
    <col min="16136" max="16384" width="9.140625" style="24"/>
  </cols>
  <sheetData>
    <row r="1" spans="1:254" outlineLevel="1" x14ac:dyDescent="0.2">
      <c r="A1" s="26"/>
      <c r="B1" s="26"/>
      <c r="C1" s="26"/>
      <c r="D1" s="27" t="s">
        <v>69</v>
      </c>
      <c r="E1" s="27" t="s">
        <v>70</v>
      </c>
      <c r="F1" s="27" t="s">
        <v>71</v>
      </c>
      <c r="G1" s="27" t="s">
        <v>72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</row>
    <row r="2" spans="1:254" outlineLevel="1" x14ac:dyDescent="0.2">
      <c r="A2" s="28" t="s">
        <v>73</v>
      </c>
      <c r="B2" s="24">
        <v>5</v>
      </c>
      <c r="D2" s="29">
        <v>10</v>
      </c>
      <c r="E2" s="30">
        <f t="shared" ref="E2:E14" si="0">($D2-$B$10)/$B$6</f>
        <v>10</v>
      </c>
      <c r="F2" s="30">
        <f t="shared" ref="F2:F14" si="1">FLOOR($E2,1)</f>
        <v>10</v>
      </c>
      <c r="G2" s="30">
        <f t="shared" ref="G2:G14" si="2">$F2*$B$6+$B$11</f>
        <v>10.5</v>
      </c>
    </row>
    <row r="3" spans="1:254" outlineLevel="1" x14ac:dyDescent="0.2">
      <c r="A3" s="28" t="s">
        <v>74</v>
      </c>
      <c r="B3" s="24">
        <v>-0.5</v>
      </c>
      <c r="D3" s="29">
        <v>10.25</v>
      </c>
      <c r="E3" s="30">
        <f t="shared" si="0"/>
        <v>10.25</v>
      </c>
      <c r="F3" s="30">
        <f t="shared" si="1"/>
        <v>10</v>
      </c>
      <c r="G3" s="30">
        <f t="shared" si="2"/>
        <v>10.5</v>
      </c>
    </row>
    <row r="4" spans="1:254" outlineLevel="1" x14ac:dyDescent="0.2">
      <c r="A4" s="28" t="s">
        <v>75</v>
      </c>
      <c r="B4" s="24">
        <v>0</v>
      </c>
      <c r="D4" s="29">
        <v>10.5</v>
      </c>
      <c r="E4" s="30">
        <f t="shared" si="0"/>
        <v>10.5</v>
      </c>
      <c r="F4" s="30">
        <f t="shared" si="1"/>
        <v>10</v>
      </c>
      <c r="G4" s="30">
        <f t="shared" si="2"/>
        <v>10.5</v>
      </c>
    </row>
    <row r="5" spans="1:254" outlineLevel="1" x14ac:dyDescent="0.2">
      <c r="A5" s="28" t="s">
        <v>76</v>
      </c>
      <c r="B5" s="24">
        <v>1</v>
      </c>
      <c r="D5" s="29">
        <v>10.75</v>
      </c>
      <c r="E5" s="30">
        <f t="shared" si="0"/>
        <v>10.75</v>
      </c>
      <c r="F5" s="30">
        <f t="shared" si="1"/>
        <v>10</v>
      </c>
      <c r="G5" s="30">
        <f t="shared" si="2"/>
        <v>10.5</v>
      </c>
    </row>
    <row r="6" spans="1:254" outlineLevel="1" x14ac:dyDescent="0.2">
      <c r="A6" s="28" t="s">
        <v>77</v>
      </c>
      <c r="B6" s="24">
        <v>1</v>
      </c>
      <c r="D6" s="29">
        <v>11</v>
      </c>
      <c r="E6" s="30">
        <f t="shared" si="0"/>
        <v>11</v>
      </c>
      <c r="F6" s="30">
        <f t="shared" si="1"/>
        <v>11</v>
      </c>
      <c r="G6" s="30">
        <f t="shared" si="2"/>
        <v>11.5</v>
      </c>
    </row>
    <row r="7" spans="1:254" outlineLevel="1" x14ac:dyDescent="0.2">
      <c r="A7" s="28" t="s">
        <v>78</v>
      </c>
      <c r="B7" s="24">
        <v>2</v>
      </c>
      <c r="D7" s="29">
        <v>11.25</v>
      </c>
      <c r="E7" s="30">
        <f t="shared" si="0"/>
        <v>11.25</v>
      </c>
      <c r="F7" s="30">
        <f t="shared" si="1"/>
        <v>11</v>
      </c>
      <c r="G7" s="30">
        <f t="shared" si="2"/>
        <v>11.5</v>
      </c>
    </row>
    <row r="8" spans="1:254" outlineLevel="1" x14ac:dyDescent="0.2">
      <c r="A8" s="28" t="s">
        <v>79</v>
      </c>
      <c r="B8" s="31">
        <f>$B$2*$B$5</f>
        <v>5</v>
      </c>
      <c r="D8" s="29">
        <v>11.5</v>
      </c>
      <c r="E8" s="30">
        <f t="shared" si="0"/>
        <v>11.5</v>
      </c>
      <c r="F8" s="30">
        <f t="shared" si="1"/>
        <v>11</v>
      </c>
      <c r="G8" s="30">
        <f t="shared" si="2"/>
        <v>11.5</v>
      </c>
    </row>
    <row r="9" spans="1:254" outlineLevel="1" x14ac:dyDescent="0.2">
      <c r="A9" s="28" t="s">
        <v>80</v>
      </c>
      <c r="B9" s="31">
        <f>TRUNC(MOD($B$8,$B$7))/$B$7</f>
        <v>0.5</v>
      </c>
      <c r="D9" s="29">
        <v>11.75</v>
      </c>
      <c r="E9" s="30">
        <f t="shared" si="0"/>
        <v>11.75</v>
      </c>
      <c r="F9" s="30">
        <f t="shared" si="1"/>
        <v>11</v>
      </c>
      <c r="G9" s="30">
        <f t="shared" si="2"/>
        <v>11.5</v>
      </c>
    </row>
    <row r="10" spans="1:254" outlineLevel="1" x14ac:dyDescent="0.2">
      <c r="A10" s="28" t="s">
        <v>81</v>
      </c>
      <c r="B10" s="31">
        <f>$B$9+$B$3</f>
        <v>0</v>
      </c>
      <c r="D10" s="29">
        <v>12</v>
      </c>
      <c r="E10" s="30">
        <f t="shared" si="0"/>
        <v>12</v>
      </c>
      <c r="F10" s="30">
        <f t="shared" si="1"/>
        <v>12</v>
      </c>
      <c r="G10" s="30">
        <f t="shared" si="2"/>
        <v>12.5</v>
      </c>
    </row>
    <row r="11" spans="1:254" outlineLevel="1" x14ac:dyDescent="0.2">
      <c r="A11" s="28" t="s">
        <v>82</v>
      </c>
      <c r="B11" s="32">
        <f>$B$9+$B$4</f>
        <v>0.5</v>
      </c>
      <c r="D11" s="29">
        <v>12.25</v>
      </c>
      <c r="E11" s="30">
        <f t="shared" si="0"/>
        <v>12.25</v>
      </c>
      <c r="F11" s="30">
        <f t="shared" si="1"/>
        <v>12</v>
      </c>
      <c r="G11" s="30">
        <f t="shared" si="2"/>
        <v>12.5</v>
      </c>
    </row>
    <row r="12" spans="1:254" outlineLevel="1" x14ac:dyDescent="0.2">
      <c r="D12" s="29">
        <v>12.5</v>
      </c>
      <c r="E12" s="30">
        <f t="shared" si="0"/>
        <v>12.5</v>
      </c>
      <c r="F12" s="30">
        <f t="shared" si="1"/>
        <v>12</v>
      </c>
      <c r="G12" s="30">
        <f t="shared" si="2"/>
        <v>12.5</v>
      </c>
    </row>
    <row r="13" spans="1:254" outlineLevel="1" x14ac:dyDescent="0.2">
      <c r="A13" s="28" t="s">
        <v>83</v>
      </c>
      <c r="B13" s="24">
        <v>2</v>
      </c>
      <c r="D13" s="29">
        <v>12.75</v>
      </c>
      <c r="E13" s="30">
        <f t="shared" si="0"/>
        <v>12.75</v>
      </c>
      <c r="F13" s="30">
        <f t="shared" si="1"/>
        <v>12</v>
      </c>
      <c r="G13" s="30">
        <f t="shared" si="2"/>
        <v>12.5</v>
      </c>
    </row>
    <row r="14" spans="1:254" outlineLevel="1" x14ac:dyDescent="0.2">
      <c r="A14" s="28" t="s">
        <v>84</v>
      </c>
      <c r="B14" s="32">
        <f>FLOOR(($B$13-MOD(($B$2*$B$5+$B$3),$B$7))/$B$6,1)*$B$6+$B$4</f>
        <v>1</v>
      </c>
      <c r="D14" s="29">
        <v>13</v>
      </c>
      <c r="E14" s="30">
        <f t="shared" si="0"/>
        <v>13</v>
      </c>
      <c r="F14" s="30">
        <f t="shared" si="1"/>
        <v>13</v>
      </c>
      <c r="G14" s="30">
        <f t="shared" si="2"/>
        <v>13.5</v>
      </c>
    </row>
    <row r="15" spans="1:254" outlineLevel="1" x14ac:dyDescent="0.2"/>
    <row r="16" spans="1:254" outlineLevel="1" x14ac:dyDescent="0.2"/>
  </sheetData>
  <printOptions gridLines="1" gridLinesSet="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088C-2B05-4C2E-AC63-D2D9844164D6}">
  <dimension ref="A1:R38"/>
  <sheetViews>
    <sheetView workbookViewId="0">
      <selection activeCell="F20" sqref="F20"/>
    </sheetView>
  </sheetViews>
  <sheetFormatPr defaultRowHeight="12.75" customHeight="1" outlineLevelRow="1" x14ac:dyDescent="0.2"/>
  <cols>
    <col min="1" max="1" width="8" style="25" customWidth="1"/>
    <col min="2" max="2" width="9.140625" style="24"/>
    <col min="3" max="8" width="12" style="24" customWidth="1"/>
    <col min="9" max="10" width="15" style="24" customWidth="1"/>
    <col min="11" max="12" width="12" style="24" customWidth="1"/>
    <col min="13" max="18" width="15" style="24" customWidth="1"/>
    <col min="19" max="256" width="9.140625" style="24"/>
    <col min="257" max="257" width="8" style="24" customWidth="1"/>
    <col min="258" max="258" width="9.140625" style="24"/>
    <col min="259" max="264" width="12" style="24" customWidth="1"/>
    <col min="265" max="266" width="15" style="24" customWidth="1"/>
    <col min="267" max="268" width="12" style="24" customWidth="1"/>
    <col min="269" max="274" width="15" style="24" customWidth="1"/>
    <col min="275" max="512" width="9.140625" style="24"/>
    <col min="513" max="513" width="8" style="24" customWidth="1"/>
    <col min="514" max="514" width="9.140625" style="24"/>
    <col min="515" max="520" width="12" style="24" customWidth="1"/>
    <col min="521" max="522" width="15" style="24" customWidth="1"/>
    <col min="523" max="524" width="12" style="24" customWidth="1"/>
    <col min="525" max="530" width="15" style="24" customWidth="1"/>
    <col min="531" max="768" width="9.140625" style="24"/>
    <col min="769" max="769" width="8" style="24" customWidth="1"/>
    <col min="770" max="770" width="9.140625" style="24"/>
    <col min="771" max="776" width="12" style="24" customWidth="1"/>
    <col min="777" max="778" width="15" style="24" customWidth="1"/>
    <col min="779" max="780" width="12" style="24" customWidth="1"/>
    <col min="781" max="786" width="15" style="24" customWidth="1"/>
    <col min="787" max="1024" width="9.140625" style="24"/>
    <col min="1025" max="1025" width="8" style="24" customWidth="1"/>
    <col min="1026" max="1026" width="9.140625" style="24"/>
    <col min="1027" max="1032" width="12" style="24" customWidth="1"/>
    <col min="1033" max="1034" width="15" style="24" customWidth="1"/>
    <col min="1035" max="1036" width="12" style="24" customWidth="1"/>
    <col min="1037" max="1042" width="15" style="24" customWidth="1"/>
    <col min="1043" max="1280" width="9.140625" style="24"/>
    <col min="1281" max="1281" width="8" style="24" customWidth="1"/>
    <col min="1282" max="1282" width="9.140625" style="24"/>
    <col min="1283" max="1288" width="12" style="24" customWidth="1"/>
    <col min="1289" max="1290" width="15" style="24" customWidth="1"/>
    <col min="1291" max="1292" width="12" style="24" customWidth="1"/>
    <col min="1293" max="1298" width="15" style="24" customWidth="1"/>
    <col min="1299" max="1536" width="9.140625" style="24"/>
    <col min="1537" max="1537" width="8" style="24" customWidth="1"/>
    <col min="1538" max="1538" width="9.140625" style="24"/>
    <col min="1539" max="1544" width="12" style="24" customWidth="1"/>
    <col min="1545" max="1546" width="15" style="24" customWidth="1"/>
    <col min="1547" max="1548" width="12" style="24" customWidth="1"/>
    <col min="1549" max="1554" width="15" style="24" customWidth="1"/>
    <col min="1555" max="1792" width="9.140625" style="24"/>
    <col min="1793" max="1793" width="8" style="24" customWidth="1"/>
    <col min="1794" max="1794" width="9.140625" style="24"/>
    <col min="1795" max="1800" width="12" style="24" customWidth="1"/>
    <col min="1801" max="1802" width="15" style="24" customWidth="1"/>
    <col min="1803" max="1804" width="12" style="24" customWidth="1"/>
    <col min="1805" max="1810" width="15" style="24" customWidth="1"/>
    <col min="1811" max="2048" width="9.140625" style="24"/>
    <col min="2049" max="2049" width="8" style="24" customWidth="1"/>
    <col min="2050" max="2050" width="9.140625" style="24"/>
    <col min="2051" max="2056" width="12" style="24" customWidth="1"/>
    <col min="2057" max="2058" width="15" style="24" customWidth="1"/>
    <col min="2059" max="2060" width="12" style="24" customWidth="1"/>
    <col min="2061" max="2066" width="15" style="24" customWidth="1"/>
    <col min="2067" max="2304" width="9.140625" style="24"/>
    <col min="2305" max="2305" width="8" style="24" customWidth="1"/>
    <col min="2306" max="2306" width="9.140625" style="24"/>
    <col min="2307" max="2312" width="12" style="24" customWidth="1"/>
    <col min="2313" max="2314" width="15" style="24" customWidth="1"/>
    <col min="2315" max="2316" width="12" style="24" customWidth="1"/>
    <col min="2317" max="2322" width="15" style="24" customWidth="1"/>
    <col min="2323" max="2560" width="9.140625" style="24"/>
    <col min="2561" max="2561" width="8" style="24" customWidth="1"/>
    <col min="2562" max="2562" width="9.140625" style="24"/>
    <col min="2563" max="2568" width="12" style="24" customWidth="1"/>
    <col min="2569" max="2570" width="15" style="24" customWidth="1"/>
    <col min="2571" max="2572" width="12" style="24" customWidth="1"/>
    <col min="2573" max="2578" width="15" style="24" customWidth="1"/>
    <col min="2579" max="2816" width="9.140625" style="24"/>
    <col min="2817" max="2817" width="8" style="24" customWidth="1"/>
    <col min="2818" max="2818" width="9.140625" style="24"/>
    <col min="2819" max="2824" width="12" style="24" customWidth="1"/>
    <col min="2825" max="2826" width="15" style="24" customWidth="1"/>
    <col min="2827" max="2828" width="12" style="24" customWidth="1"/>
    <col min="2829" max="2834" width="15" style="24" customWidth="1"/>
    <col min="2835" max="3072" width="9.140625" style="24"/>
    <col min="3073" max="3073" width="8" style="24" customWidth="1"/>
    <col min="3074" max="3074" width="9.140625" style="24"/>
    <col min="3075" max="3080" width="12" style="24" customWidth="1"/>
    <col min="3081" max="3082" width="15" style="24" customWidth="1"/>
    <col min="3083" max="3084" width="12" style="24" customWidth="1"/>
    <col min="3085" max="3090" width="15" style="24" customWidth="1"/>
    <col min="3091" max="3328" width="9.140625" style="24"/>
    <col min="3329" max="3329" width="8" style="24" customWidth="1"/>
    <col min="3330" max="3330" width="9.140625" style="24"/>
    <col min="3331" max="3336" width="12" style="24" customWidth="1"/>
    <col min="3337" max="3338" width="15" style="24" customWidth="1"/>
    <col min="3339" max="3340" width="12" style="24" customWidth="1"/>
    <col min="3341" max="3346" width="15" style="24" customWidth="1"/>
    <col min="3347" max="3584" width="9.140625" style="24"/>
    <col min="3585" max="3585" width="8" style="24" customWidth="1"/>
    <col min="3586" max="3586" width="9.140625" style="24"/>
    <col min="3587" max="3592" width="12" style="24" customWidth="1"/>
    <col min="3593" max="3594" width="15" style="24" customWidth="1"/>
    <col min="3595" max="3596" width="12" style="24" customWidth="1"/>
    <col min="3597" max="3602" width="15" style="24" customWidth="1"/>
    <col min="3603" max="3840" width="9.140625" style="24"/>
    <col min="3841" max="3841" width="8" style="24" customWidth="1"/>
    <col min="3842" max="3842" width="9.140625" style="24"/>
    <col min="3843" max="3848" width="12" style="24" customWidth="1"/>
    <col min="3849" max="3850" width="15" style="24" customWidth="1"/>
    <col min="3851" max="3852" width="12" style="24" customWidth="1"/>
    <col min="3853" max="3858" width="15" style="24" customWidth="1"/>
    <col min="3859" max="4096" width="9.140625" style="24"/>
    <col min="4097" max="4097" width="8" style="24" customWidth="1"/>
    <col min="4098" max="4098" width="9.140625" style="24"/>
    <col min="4099" max="4104" width="12" style="24" customWidth="1"/>
    <col min="4105" max="4106" width="15" style="24" customWidth="1"/>
    <col min="4107" max="4108" width="12" style="24" customWidth="1"/>
    <col min="4109" max="4114" width="15" style="24" customWidth="1"/>
    <col min="4115" max="4352" width="9.140625" style="24"/>
    <col min="4353" max="4353" width="8" style="24" customWidth="1"/>
    <col min="4354" max="4354" width="9.140625" style="24"/>
    <col min="4355" max="4360" width="12" style="24" customWidth="1"/>
    <col min="4361" max="4362" width="15" style="24" customWidth="1"/>
    <col min="4363" max="4364" width="12" style="24" customWidth="1"/>
    <col min="4365" max="4370" width="15" style="24" customWidth="1"/>
    <col min="4371" max="4608" width="9.140625" style="24"/>
    <col min="4609" max="4609" width="8" style="24" customWidth="1"/>
    <col min="4610" max="4610" width="9.140625" style="24"/>
    <col min="4611" max="4616" width="12" style="24" customWidth="1"/>
    <col min="4617" max="4618" width="15" style="24" customWidth="1"/>
    <col min="4619" max="4620" width="12" style="24" customWidth="1"/>
    <col min="4621" max="4626" width="15" style="24" customWidth="1"/>
    <col min="4627" max="4864" width="9.140625" style="24"/>
    <col min="4865" max="4865" width="8" style="24" customWidth="1"/>
    <col min="4866" max="4866" width="9.140625" style="24"/>
    <col min="4867" max="4872" width="12" style="24" customWidth="1"/>
    <col min="4873" max="4874" width="15" style="24" customWidth="1"/>
    <col min="4875" max="4876" width="12" style="24" customWidth="1"/>
    <col min="4877" max="4882" width="15" style="24" customWidth="1"/>
    <col min="4883" max="5120" width="9.140625" style="24"/>
    <col min="5121" max="5121" width="8" style="24" customWidth="1"/>
    <col min="5122" max="5122" width="9.140625" style="24"/>
    <col min="5123" max="5128" width="12" style="24" customWidth="1"/>
    <col min="5129" max="5130" width="15" style="24" customWidth="1"/>
    <col min="5131" max="5132" width="12" style="24" customWidth="1"/>
    <col min="5133" max="5138" width="15" style="24" customWidth="1"/>
    <col min="5139" max="5376" width="9.140625" style="24"/>
    <col min="5377" max="5377" width="8" style="24" customWidth="1"/>
    <col min="5378" max="5378" width="9.140625" style="24"/>
    <col min="5379" max="5384" width="12" style="24" customWidth="1"/>
    <col min="5385" max="5386" width="15" style="24" customWidth="1"/>
    <col min="5387" max="5388" width="12" style="24" customWidth="1"/>
    <col min="5389" max="5394" width="15" style="24" customWidth="1"/>
    <col min="5395" max="5632" width="9.140625" style="24"/>
    <col min="5633" max="5633" width="8" style="24" customWidth="1"/>
    <col min="5634" max="5634" width="9.140625" style="24"/>
    <col min="5635" max="5640" width="12" style="24" customWidth="1"/>
    <col min="5641" max="5642" width="15" style="24" customWidth="1"/>
    <col min="5643" max="5644" width="12" style="24" customWidth="1"/>
    <col min="5645" max="5650" width="15" style="24" customWidth="1"/>
    <col min="5651" max="5888" width="9.140625" style="24"/>
    <col min="5889" max="5889" width="8" style="24" customWidth="1"/>
    <col min="5890" max="5890" width="9.140625" style="24"/>
    <col min="5891" max="5896" width="12" style="24" customWidth="1"/>
    <col min="5897" max="5898" width="15" style="24" customWidth="1"/>
    <col min="5899" max="5900" width="12" style="24" customWidth="1"/>
    <col min="5901" max="5906" width="15" style="24" customWidth="1"/>
    <col min="5907" max="6144" width="9.140625" style="24"/>
    <col min="6145" max="6145" width="8" style="24" customWidth="1"/>
    <col min="6146" max="6146" width="9.140625" style="24"/>
    <col min="6147" max="6152" width="12" style="24" customWidth="1"/>
    <col min="6153" max="6154" width="15" style="24" customWidth="1"/>
    <col min="6155" max="6156" width="12" style="24" customWidth="1"/>
    <col min="6157" max="6162" width="15" style="24" customWidth="1"/>
    <col min="6163" max="6400" width="9.140625" style="24"/>
    <col min="6401" max="6401" width="8" style="24" customWidth="1"/>
    <col min="6402" max="6402" width="9.140625" style="24"/>
    <col min="6403" max="6408" width="12" style="24" customWidth="1"/>
    <col min="6409" max="6410" width="15" style="24" customWidth="1"/>
    <col min="6411" max="6412" width="12" style="24" customWidth="1"/>
    <col min="6413" max="6418" width="15" style="24" customWidth="1"/>
    <col min="6419" max="6656" width="9.140625" style="24"/>
    <col min="6657" max="6657" width="8" style="24" customWidth="1"/>
    <col min="6658" max="6658" width="9.140625" style="24"/>
    <col min="6659" max="6664" width="12" style="24" customWidth="1"/>
    <col min="6665" max="6666" width="15" style="24" customWidth="1"/>
    <col min="6667" max="6668" width="12" style="24" customWidth="1"/>
    <col min="6669" max="6674" width="15" style="24" customWidth="1"/>
    <col min="6675" max="6912" width="9.140625" style="24"/>
    <col min="6913" max="6913" width="8" style="24" customWidth="1"/>
    <col min="6914" max="6914" width="9.140625" style="24"/>
    <col min="6915" max="6920" width="12" style="24" customWidth="1"/>
    <col min="6921" max="6922" width="15" style="24" customWidth="1"/>
    <col min="6923" max="6924" width="12" style="24" customWidth="1"/>
    <col min="6925" max="6930" width="15" style="24" customWidth="1"/>
    <col min="6931" max="7168" width="9.140625" style="24"/>
    <col min="7169" max="7169" width="8" style="24" customWidth="1"/>
    <col min="7170" max="7170" width="9.140625" style="24"/>
    <col min="7171" max="7176" width="12" style="24" customWidth="1"/>
    <col min="7177" max="7178" width="15" style="24" customWidth="1"/>
    <col min="7179" max="7180" width="12" style="24" customWidth="1"/>
    <col min="7181" max="7186" width="15" style="24" customWidth="1"/>
    <col min="7187" max="7424" width="9.140625" style="24"/>
    <col min="7425" max="7425" width="8" style="24" customWidth="1"/>
    <col min="7426" max="7426" width="9.140625" style="24"/>
    <col min="7427" max="7432" width="12" style="24" customWidth="1"/>
    <col min="7433" max="7434" width="15" style="24" customWidth="1"/>
    <col min="7435" max="7436" width="12" style="24" customWidth="1"/>
    <col min="7437" max="7442" width="15" style="24" customWidth="1"/>
    <col min="7443" max="7680" width="9.140625" style="24"/>
    <col min="7681" max="7681" width="8" style="24" customWidth="1"/>
    <col min="7682" max="7682" width="9.140625" style="24"/>
    <col min="7683" max="7688" width="12" style="24" customWidth="1"/>
    <col min="7689" max="7690" width="15" style="24" customWidth="1"/>
    <col min="7691" max="7692" width="12" style="24" customWidth="1"/>
    <col min="7693" max="7698" width="15" style="24" customWidth="1"/>
    <col min="7699" max="7936" width="9.140625" style="24"/>
    <col min="7937" max="7937" width="8" style="24" customWidth="1"/>
    <col min="7938" max="7938" width="9.140625" style="24"/>
    <col min="7939" max="7944" width="12" style="24" customWidth="1"/>
    <col min="7945" max="7946" width="15" style="24" customWidth="1"/>
    <col min="7947" max="7948" width="12" style="24" customWidth="1"/>
    <col min="7949" max="7954" width="15" style="24" customWidth="1"/>
    <col min="7955" max="8192" width="9.140625" style="24"/>
    <col min="8193" max="8193" width="8" style="24" customWidth="1"/>
    <col min="8194" max="8194" width="9.140625" style="24"/>
    <col min="8195" max="8200" width="12" style="24" customWidth="1"/>
    <col min="8201" max="8202" width="15" style="24" customWidth="1"/>
    <col min="8203" max="8204" width="12" style="24" customWidth="1"/>
    <col min="8205" max="8210" width="15" style="24" customWidth="1"/>
    <col min="8211" max="8448" width="9.140625" style="24"/>
    <col min="8449" max="8449" width="8" style="24" customWidth="1"/>
    <col min="8450" max="8450" width="9.140625" style="24"/>
    <col min="8451" max="8456" width="12" style="24" customWidth="1"/>
    <col min="8457" max="8458" width="15" style="24" customWidth="1"/>
    <col min="8459" max="8460" width="12" style="24" customWidth="1"/>
    <col min="8461" max="8466" width="15" style="24" customWidth="1"/>
    <col min="8467" max="8704" width="9.140625" style="24"/>
    <col min="8705" max="8705" width="8" style="24" customWidth="1"/>
    <col min="8706" max="8706" width="9.140625" style="24"/>
    <col min="8707" max="8712" width="12" style="24" customWidth="1"/>
    <col min="8713" max="8714" width="15" style="24" customWidth="1"/>
    <col min="8715" max="8716" width="12" style="24" customWidth="1"/>
    <col min="8717" max="8722" width="15" style="24" customWidth="1"/>
    <col min="8723" max="8960" width="9.140625" style="24"/>
    <col min="8961" max="8961" width="8" style="24" customWidth="1"/>
    <col min="8962" max="8962" width="9.140625" style="24"/>
    <col min="8963" max="8968" width="12" style="24" customWidth="1"/>
    <col min="8969" max="8970" width="15" style="24" customWidth="1"/>
    <col min="8971" max="8972" width="12" style="24" customWidth="1"/>
    <col min="8973" max="8978" width="15" style="24" customWidth="1"/>
    <col min="8979" max="9216" width="9.140625" style="24"/>
    <col min="9217" max="9217" width="8" style="24" customWidth="1"/>
    <col min="9218" max="9218" width="9.140625" style="24"/>
    <col min="9219" max="9224" width="12" style="24" customWidth="1"/>
    <col min="9225" max="9226" width="15" style="24" customWidth="1"/>
    <col min="9227" max="9228" width="12" style="24" customWidth="1"/>
    <col min="9229" max="9234" width="15" style="24" customWidth="1"/>
    <col min="9235" max="9472" width="9.140625" style="24"/>
    <col min="9473" max="9473" width="8" style="24" customWidth="1"/>
    <col min="9474" max="9474" width="9.140625" style="24"/>
    <col min="9475" max="9480" width="12" style="24" customWidth="1"/>
    <col min="9481" max="9482" width="15" style="24" customWidth="1"/>
    <col min="9483" max="9484" width="12" style="24" customWidth="1"/>
    <col min="9485" max="9490" width="15" style="24" customWidth="1"/>
    <col min="9491" max="9728" width="9.140625" style="24"/>
    <col min="9729" max="9729" width="8" style="24" customWidth="1"/>
    <col min="9730" max="9730" width="9.140625" style="24"/>
    <col min="9731" max="9736" width="12" style="24" customWidth="1"/>
    <col min="9737" max="9738" width="15" style="24" customWidth="1"/>
    <col min="9739" max="9740" width="12" style="24" customWidth="1"/>
    <col min="9741" max="9746" width="15" style="24" customWidth="1"/>
    <col min="9747" max="9984" width="9.140625" style="24"/>
    <col min="9985" max="9985" width="8" style="24" customWidth="1"/>
    <col min="9986" max="9986" width="9.140625" style="24"/>
    <col min="9987" max="9992" width="12" style="24" customWidth="1"/>
    <col min="9993" max="9994" width="15" style="24" customWidth="1"/>
    <col min="9995" max="9996" width="12" style="24" customWidth="1"/>
    <col min="9997" max="10002" width="15" style="24" customWidth="1"/>
    <col min="10003" max="10240" width="9.140625" style="24"/>
    <col min="10241" max="10241" width="8" style="24" customWidth="1"/>
    <col min="10242" max="10242" width="9.140625" style="24"/>
    <col min="10243" max="10248" width="12" style="24" customWidth="1"/>
    <col min="10249" max="10250" width="15" style="24" customWidth="1"/>
    <col min="10251" max="10252" width="12" style="24" customWidth="1"/>
    <col min="10253" max="10258" width="15" style="24" customWidth="1"/>
    <col min="10259" max="10496" width="9.140625" style="24"/>
    <col min="10497" max="10497" width="8" style="24" customWidth="1"/>
    <col min="10498" max="10498" width="9.140625" style="24"/>
    <col min="10499" max="10504" width="12" style="24" customWidth="1"/>
    <col min="10505" max="10506" width="15" style="24" customWidth="1"/>
    <col min="10507" max="10508" width="12" style="24" customWidth="1"/>
    <col min="10509" max="10514" width="15" style="24" customWidth="1"/>
    <col min="10515" max="10752" width="9.140625" style="24"/>
    <col min="10753" max="10753" width="8" style="24" customWidth="1"/>
    <col min="10754" max="10754" width="9.140625" style="24"/>
    <col min="10755" max="10760" width="12" style="24" customWidth="1"/>
    <col min="10761" max="10762" width="15" style="24" customWidth="1"/>
    <col min="10763" max="10764" width="12" style="24" customWidth="1"/>
    <col min="10765" max="10770" width="15" style="24" customWidth="1"/>
    <col min="10771" max="11008" width="9.140625" style="24"/>
    <col min="11009" max="11009" width="8" style="24" customWidth="1"/>
    <col min="11010" max="11010" width="9.140625" style="24"/>
    <col min="11011" max="11016" width="12" style="24" customWidth="1"/>
    <col min="11017" max="11018" width="15" style="24" customWidth="1"/>
    <col min="11019" max="11020" width="12" style="24" customWidth="1"/>
    <col min="11021" max="11026" width="15" style="24" customWidth="1"/>
    <col min="11027" max="11264" width="9.140625" style="24"/>
    <col min="11265" max="11265" width="8" style="24" customWidth="1"/>
    <col min="11266" max="11266" width="9.140625" style="24"/>
    <col min="11267" max="11272" width="12" style="24" customWidth="1"/>
    <col min="11273" max="11274" width="15" style="24" customWidth="1"/>
    <col min="11275" max="11276" width="12" style="24" customWidth="1"/>
    <col min="11277" max="11282" width="15" style="24" customWidth="1"/>
    <col min="11283" max="11520" width="9.140625" style="24"/>
    <col min="11521" max="11521" width="8" style="24" customWidth="1"/>
    <col min="11522" max="11522" width="9.140625" style="24"/>
    <col min="11523" max="11528" width="12" style="24" customWidth="1"/>
    <col min="11529" max="11530" width="15" style="24" customWidth="1"/>
    <col min="11531" max="11532" width="12" style="24" customWidth="1"/>
    <col min="11533" max="11538" width="15" style="24" customWidth="1"/>
    <col min="11539" max="11776" width="9.140625" style="24"/>
    <col min="11777" max="11777" width="8" style="24" customWidth="1"/>
    <col min="11778" max="11778" width="9.140625" style="24"/>
    <col min="11779" max="11784" width="12" style="24" customWidth="1"/>
    <col min="11785" max="11786" width="15" style="24" customWidth="1"/>
    <col min="11787" max="11788" width="12" style="24" customWidth="1"/>
    <col min="11789" max="11794" width="15" style="24" customWidth="1"/>
    <col min="11795" max="12032" width="9.140625" style="24"/>
    <col min="12033" max="12033" width="8" style="24" customWidth="1"/>
    <col min="12034" max="12034" width="9.140625" style="24"/>
    <col min="12035" max="12040" width="12" style="24" customWidth="1"/>
    <col min="12041" max="12042" width="15" style="24" customWidth="1"/>
    <col min="12043" max="12044" width="12" style="24" customWidth="1"/>
    <col min="12045" max="12050" width="15" style="24" customWidth="1"/>
    <col min="12051" max="12288" width="9.140625" style="24"/>
    <col min="12289" max="12289" width="8" style="24" customWidth="1"/>
    <col min="12290" max="12290" width="9.140625" style="24"/>
    <col min="12291" max="12296" width="12" style="24" customWidth="1"/>
    <col min="12297" max="12298" width="15" style="24" customWidth="1"/>
    <col min="12299" max="12300" width="12" style="24" customWidth="1"/>
    <col min="12301" max="12306" width="15" style="24" customWidth="1"/>
    <col min="12307" max="12544" width="9.140625" style="24"/>
    <col min="12545" max="12545" width="8" style="24" customWidth="1"/>
    <col min="12546" max="12546" width="9.140625" style="24"/>
    <col min="12547" max="12552" width="12" style="24" customWidth="1"/>
    <col min="12553" max="12554" width="15" style="24" customWidth="1"/>
    <col min="12555" max="12556" width="12" style="24" customWidth="1"/>
    <col min="12557" max="12562" width="15" style="24" customWidth="1"/>
    <col min="12563" max="12800" width="9.140625" style="24"/>
    <col min="12801" max="12801" width="8" style="24" customWidth="1"/>
    <col min="12802" max="12802" width="9.140625" style="24"/>
    <col min="12803" max="12808" width="12" style="24" customWidth="1"/>
    <col min="12809" max="12810" width="15" style="24" customWidth="1"/>
    <col min="12811" max="12812" width="12" style="24" customWidth="1"/>
    <col min="12813" max="12818" width="15" style="24" customWidth="1"/>
    <col min="12819" max="13056" width="9.140625" style="24"/>
    <col min="13057" max="13057" width="8" style="24" customWidth="1"/>
    <col min="13058" max="13058" width="9.140625" style="24"/>
    <col min="13059" max="13064" width="12" style="24" customWidth="1"/>
    <col min="13065" max="13066" width="15" style="24" customWidth="1"/>
    <col min="13067" max="13068" width="12" style="24" customWidth="1"/>
    <col min="13069" max="13074" width="15" style="24" customWidth="1"/>
    <col min="13075" max="13312" width="9.140625" style="24"/>
    <col min="13313" max="13313" width="8" style="24" customWidth="1"/>
    <col min="13314" max="13314" width="9.140625" style="24"/>
    <col min="13315" max="13320" width="12" style="24" customWidth="1"/>
    <col min="13321" max="13322" width="15" style="24" customWidth="1"/>
    <col min="13323" max="13324" width="12" style="24" customWidth="1"/>
    <col min="13325" max="13330" width="15" style="24" customWidth="1"/>
    <col min="13331" max="13568" width="9.140625" style="24"/>
    <col min="13569" max="13569" width="8" style="24" customWidth="1"/>
    <col min="13570" max="13570" width="9.140625" style="24"/>
    <col min="13571" max="13576" width="12" style="24" customWidth="1"/>
    <col min="13577" max="13578" width="15" style="24" customWidth="1"/>
    <col min="13579" max="13580" width="12" style="24" customWidth="1"/>
    <col min="13581" max="13586" width="15" style="24" customWidth="1"/>
    <col min="13587" max="13824" width="9.140625" style="24"/>
    <col min="13825" max="13825" width="8" style="24" customWidth="1"/>
    <col min="13826" max="13826" width="9.140625" style="24"/>
    <col min="13827" max="13832" width="12" style="24" customWidth="1"/>
    <col min="13833" max="13834" width="15" style="24" customWidth="1"/>
    <col min="13835" max="13836" width="12" style="24" customWidth="1"/>
    <col min="13837" max="13842" width="15" style="24" customWidth="1"/>
    <col min="13843" max="14080" width="9.140625" style="24"/>
    <col min="14081" max="14081" width="8" style="24" customWidth="1"/>
    <col min="14082" max="14082" width="9.140625" style="24"/>
    <col min="14083" max="14088" width="12" style="24" customWidth="1"/>
    <col min="14089" max="14090" width="15" style="24" customWidth="1"/>
    <col min="14091" max="14092" width="12" style="24" customWidth="1"/>
    <col min="14093" max="14098" width="15" style="24" customWidth="1"/>
    <col min="14099" max="14336" width="9.140625" style="24"/>
    <col min="14337" max="14337" width="8" style="24" customWidth="1"/>
    <col min="14338" max="14338" width="9.140625" style="24"/>
    <col min="14339" max="14344" width="12" style="24" customWidth="1"/>
    <col min="14345" max="14346" width="15" style="24" customWidth="1"/>
    <col min="14347" max="14348" width="12" style="24" customWidth="1"/>
    <col min="14349" max="14354" width="15" style="24" customWidth="1"/>
    <col min="14355" max="14592" width="9.140625" style="24"/>
    <col min="14593" max="14593" width="8" style="24" customWidth="1"/>
    <col min="14594" max="14594" width="9.140625" style="24"/>
    <col min="14595" max="14600" width="12" style="24" customWidth="1"/>
    <col min="14601" max="14602" width="15" style="24" customWidth="1"/>
    <col min="14603" max="14604" width="12" style="24" customWidth="1"/>
    <col min="14605" max="14610" width="15" style="24" customWidth="1"/>
    <col min="14611" max="14848" width="9.140625" style="24"/>
    <col min="14849" max="14849" width="8" style="24" customWidth="1"/>
    <col min="14850" max="14850" width="9.140625" style="24"/>
    <col min="14851" max="14856" width="12" style="24" customWidth="1"/>
    <col min="14857" max="14858" width="15" style="24" customWidth="1"/>
    <col min="14859" max="14860" width="12" style="24" customWidth="1"/>
    <col min="14861" max="14866" width="15" style="24" customWidth="1"/>
    <col min="14867" max="15104" width="9.140625" style="24"/>
    <col min="15105" max="15105" width="8" style="24" customWidth="1"/>
    <col min="15106" max="15106" width="9.140625" style="24"/>
    <col min="15107" max="15112" width="12" style="24" customWidth="1"/>
    <col min="15113" max="15114" width="15" style="24" customWidth="1"/>
    <col min="15115" max="15116" width="12" style="24" customWidth="1"/>
    <col min="15117" max="15122" width="15" style="24" customWidth="1"/>
    <col min="15123" max="15360" width="9.140625" style="24"/>
    <col min="15361" max="15361" width="8" style="24" customWidth="1"/>
    <col min="15362" max="15362" width="9.140625" style="24"/>
    <col min="15363" max="15368" width="12" style="24" customWidth="1"/>
    <col min="15369" max="15370" width="15" style="24" customWidth="1"/>
    <col min="15371" max="15372" width="12" style="24" customWidth="1"/>
    <col min="15373" max="15378" width="15" style="24" customWidth="1"/>
    <col min="15379" max="15616" width="9.140625" style="24"/>
    <col min="15617" max="15617" width="8" style="24" customWidth="1"/>
    <col min="15618" max="15618" width="9.140625" style="24"/>
    <col min="15619" max="15624" width="12" style="24" customWidth="1"/>
    <col min="15625" max="15626" width="15" style="24" customWidth="1"/>
    <col min="15627" max="15628" width="12" style="24" customWidth="1"/>
    <col min="15629" max="15634" width="15" style="24" customWidth="1"/>
    <col min="15635" max="15872" width="9.140625" style="24"/>
    <col min="15873" max="15873" width="8" style="24" customWidth="1"/>
    <col min="15874" max="15874" width="9.140625" style="24"/>
    <col min="15875" max="15880" width="12" style="24" customWidth="1"/>
    <col min="15881" max="15882" width="15" style="24" customWidth="1"/>
    <col min="15883" max="15884" width="12" style="24" customWidth="1"/>
    <col min="15885" max="15890" width="15" style="24" customWidth="1"/>
    <col min="15891" max="16128" width="9.140625" style="24"/>
    <col min="16129" max="16129" width="8" style="24" customWidth="1"/>
    <col min="16130" max="16130" width="9.140625" style="24"/>
    <col min="16131" max="16136" width="12" style="24" customWidth="1"/>
    <col min="16137" max="16138" width="15" style="24" customWidth="1"/>
    <col min="16139" max="16140" width="12" style="24" customWidth="1"/>
    <col min="16141" max="16146" width="15" style="24" customWidth="1"/>
    <col min="16147" max="16384" width="9.140625" style="24"/>
  </cols>
  <sheetData>
    <row r="1" spans="1:18" outlineLevel="1" x14ac:dyDescent="0.2">
      <c r="A1" s="22"/>
      <c r="B1" s="23" t="s">
        <v>27</v>
      </c>
      <c r="C1" s="23" t="s">
        <v>28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/>
      <c r="L1" s="23"/>
      <c r="M1" s="23"/>
      <c r="N1" s="23"/>
      <c r="O1" s="23"/>
      <c r="P1" s="23"/>
      <c r="Q1" s="23" t="s">
        <v>36</v>
      </c>
      <c r="R1" s="23" t="s">
        <v>37</v>
      </c>
    </row>
    <row r="2" spans="1:18" outlineLevel="1" x14ac:dyDescent="0.2">
      <c r="A2" s="22"/>
      <c r="B2" s="23" t="s">
        <v>38</v>
      </c>
      <c r="C2" s="23" t="s">
        <v>38</v>
      </c>
      <c r="D2" s="23" t="s">
        <v>38</v>
      </c>
      <c r="E2" s="23" t="s">
        <v>39</v>
      </c>
      <c r="F2" s="23" t="s">
        <v>40</v>
      </c>
      <c r="G2" s="23" t="s">
        <v>41</v>
      </c>
      <c r="H2" s="23" t="s">
        <v>42</v>
      </c>
      <c r="I2" s="23" t="s">
        <v>43</v>
      </c>
      <c r="J2" s="23" t="s">
        <v>44</v>
      </c>
      <c r="K2" s="23" t="s">
        <v>45</v>
      </c>
      <c r="L2" s="23" t="s">
        <v>46</v>
      </c>
      <c r="M2" s="23" t="s">
        <v>47</v>
      </c>
      <c r="N2" s="23" t="s">
        <v>48</v>
      </c>
      <c r="O2" s="23" t="s">
        <v>47</v>
      </c>
      <c r="P2" s="23" t="s">
        <v>49</v>
      </c>
      <c r="Q2" s="23" t="s">
        <v>50</v>
      </c>
      <c r="R2" s="23" t="s">
        <v>50</v>
      </c>
    </row>
    <row r="3" spans="1:18" outlineLevel="1" x14ac:dyDescent="0.2">
      <c r="A3" s="22"/>
      <c r="B3" s="23" t="s">
        <v>51</v>
      </c>
      <c r="C3" s="23" t="s">
        <v>52</v>
      </c>
      <c r="D3" s="23" t="s">
        <v>53</v>
      </c>
      <c r="E3" s="23" t="s">
        <v>54</v>
      </c>
      <c r="F3" s="23" t="s">
        <v>55</v>
      </c>
      <c r="G3" s="23" t="s">
        <v>56</v>
      </c>
      <c r="H3" s="23" t="s">
        <v>57</v>
      </c>
      <c r="I3" s="23" t="s">
        <v>58</v>
      </c>
      <c r="J3" s="23" t="s">
        <v>59</v>
      </c>
      <c r="K3" s="23" t="s">
        <v>60</v>
      </c>
      <c r="L3" s="23" t="s">
        <v>61</v>
      </c>
      <c r="M3" s="23" t="s">
        <v>62</v>
      </c>
      <c r="N3" s="23" t="s">
        <v>63</v>
      </c>
      <c r="O3" s="23" t="s">
        <v>64</v>
      </c>
      <c r="P3" s="23" t="s">
        <v>65</v>
      </c>
      <c r="Q3" s="23" t="s">
        <v>66</v>
      </c>
      <c r="R3" s="23" t="s">
        <v>58</v>
      </c>
    </row>
    <row r="4" spans="1:18" outlineLevel="1" x14ac:dyDescent="0.2">
      <c r="A4" s="22">
        <v>0</v>
      </c>
      <c r="B4" s="24">
        <v>0</v>
      </c>
      <c r="C4" s="24">
        <f t="shared" ref="C4:C36" si="0">FLOOR($A4,1)</f>
        <v>0</v>
      </c>
      <c r="D4" s="24">
        <f t="shared" ref="D4:D36" si="1">CEILING($A4,1)</f>
        <v>0</v>
      </c>
      <c r="E4" s="24">
        <f t="shared" ref="E4:E36" si="2">CEILING($A4-0.5,1)</f>
        <v>0</v>
      </c>
      <c r="F4" s="24">
        <f t="shared" ref="F4:F36" si="3">FLOOR($A4+0.5,1)</f>
        <v>0</v>
      </c>
      <c r="G4" s="24">
        <f t="shared" ref="G4:G36" si="4">FLOOR($A4+0.5,1)-0.5</f>
        <v>-0.5</v>
      </c>
      <c r="H4" s="24">
        <f t="shared" ref="H4:H36" si="5">CEILING($A4-0.5,1)+0.5</f>
        <v>0.5</v>
      </c>
      <c r="I4" s="24">
        <f t="shared" ref="I4:I36" si="6">CEILING($A4-0,1)-0.5</f>
        <v>-0.5</v>
      </c>
      <c r="J4" s="24">
        <f t="shared" ref="J4:J36" si="7">FLOOR($A4-0,1)+0.5</f>
        <v>0.5</v>
      </c>
      <c r="K4" s="24">
        <f t="shared" ref="K4:K36" si="8">FLOOR($A4*2,1)/2</f>
        <v>0</v>
      </c>
      <c r="L4" s="24">
        <f t="shared" ref="L4:L36" si="9">FLOOR($A4/2,1)*2</f>
        <v>0</v>
      </c>
      <c r="M4" s="24">
        <f t="shared" ref="M4:M36" si="10">FLOOR(($A4-0.5)/2,1)*2+0.5</f>
        <v>-1.5</v>
      </c>
      <c r="N4" s="24">
        <f t="shared" ref="N4:N36" si="11">FLOOR(($A4+0.5)/2,1)*2-0.5</f>
        <v>-0.5</v>
      </c>
      <c r="O4" s="24">
        <f t="shared" ref="O4:O36" si="12">CEILING(($A4-0.5)/2,1)*2+0.5</f>
        <v>0.5</v>
      </c>
      <c r="P4" s="24">
        <f t="shared" ref="P4:P36" si="13">FLOOR(($A4-0.75)/2,1)*2+0.75</f>
        <v>-1.25</v>
      </c>
      <c r="Q4" s="24">
        <f t="shared" ref="Q4:Q36" si="14">CEILING($A4-0.5,1)</f>
        <v>0</v>
      </c>
      <c r="R4" s="24">
        <f t="shared" ref="R4:R36" si="15">CEILING($A4-0,1)-0.5</f>
        <v>-0.5</v>
      </c>
    </row>
    <row r="5" spans="1:18" outlineLevel="1" x14ac:dyDescent="0.2">
      <c r="A5" s="25">
        <v>0.125</v>
      </c>
      <c r="B5" s="24">
        <v>0.125</v>
      </c>
      <c r="C5" s="24">
        <f t="shared" si="0"/>
        <v>0</v>
      </c>
      <c r="D5" s="24">
        <f t="shared" si="1"/>
        <v>1</v>
      </c>
      <c r="E5" s="24">
        <f t="shared" si="2"/>
        <v>0</v>
      </c>
      <c r="F5" s="24">
        <f t="shared" si="3"/>
        <v>0</v>
      </c>
      <c r="G5" s="24">
        <f t="shared" si="4"/>
        <v>-0.5</v>
      </c>
      <c r="H5" s="24">
        <f t="shared" si="5"/>
        <v>0.5</v>
      </c>
      <c r="I5" s="24">
        <f t="shared" si="6"/>
        <v>0.5</v>
      </c>
      <c r="J5" s="24">
        <f t="shared" si="7"/>
        <v>0.5</v>
      </c>
      <c r="K5" s="24">
        <f t="shared" si="8"/>
        <v>0</v>
      </c>
      <c r="L5" s="24">
        <f t="shared" si="9"/>
        <v>0</v>
      </c>
      <c r="M5" s="24">
        <f t="shared" si="10"/>
        <v>-1.5</v>
      </c>
      <c r="N5" s="24">
        <f t="shared" si="11"/>
        <v>-0.5</v>
      </c>
      <c r="O5" s="24">
        <f t="shared" si="12"/>
        <v>0.5</v>
      </c>
      <c r="P5" s="24">
        <f t="shared" si="13"/>
        <v>-1.25</v>
      </c>
      <c r="Q5" s="24">
        <f t="shared" si="14"/>
        <v>0</v>
      </c>
      <c r="R5" s="24">
        <f t="shared" si="15"/>
        <v>0.5</v>
      </c>
    </row>
    <row r="6" spans="1:18" outlineLevel="1" x14ac:dyDescent="0.2">
      <c r="A6" s="22">
        <v>0.25</v>
      </c>
      <c r="B6" s="24">
        <v>0.25</v>
      </c>
      <c r="C6" s="24">
        <f t="shared" si="0"/>
        <v>0</v>
      </c>
      <c r="D6" s="24">
        <f t="shared" si="1"/>
        <v>1</v>
      </c>
      <c r="E6" s="24">
        <f t="shared" si="2"/>
        <v>0</v>
      </c>
      <c r="F6" s="24">
        <f t="shared" si="3"/>
        <v>0</v>
      </c>
      <c r="G6" s="24">
        <f t="shared" si="4"/>
        <v>-0.5</v>
      </c>
      <c r="H6" s="24">
        <f t="shared" si="5"/>
        <v>0.5</v>
      </c>
      <c r="I6" s="24">
        <f t="shared" si="6"/>
        <v>0.5</v>
      </c>
      <c r="J6" s="24">
        <f t="shared" si="7"/>
        <v>0.5</v>
      </c>
      <c r="K6" s="24">
        <f t="shared" si="8"/>
        <v>0</v>
      </c>
      <c r="L6" s="24">
        <f t="shared" si="9"/>
        <v>0</v>
      </c>
      <c r="M6" s="24">
        <f t="shared" si="10"/>
        <v>-1.5</v>
      </c>
      <c r="N6" s="24">
        <f t="shared" si="11"/>
        <v>-0.5</v>
      </c>
      <c r="O6" s="24">
        <f t="shared" si="12"/>
        <v>0.5</v>
      </c>
      <c r="P6" s="24">
        <f t="shared" si="13"/>
        <v>-1.25</v>
      </c>
      <c r="Q6" s="24">
        <f t="shared" si="14"/>
        <v>0</v>
      </c>
      <c r="R6" s="24">
        <f t="shared" si="15"/>
        <v>0.5</v>
      </c>
    </row>
    <row r="7" spans="1:18" outlineLevel="1" x14ac:dyDescent="0.2">
      <c r="A7" s="25">
        <v>0.37500000000000006</v>
      </c>
      <c r="B7" s="24">
        <v>0.37500000000000006</v>
      </c>
      <c r="C7" s="24">
        <f t="shared" si="0"/>
        <v>0</v>
      </c>
      <c r="D7" s="24">
        <f t="shared" si="1"/>
        <v>1</v>
      </c>
      <c r="E7" s="24">
        <f t="shared" si="2"/>
        <v>0</v>
      </c>
      <c r="F7" s="24">
        <f t="shared" si="3"/>
        <v>0</v>
      </c>
      <c r="G7" s="24">
        <f t="shared" si="4"/>
        <v>-0.5</v>
      </c>
      <c r="H7" s="24">
        <f t="shared" si="5"/>
        <v>0.5</v>
      </c>
      <c r="I7" s="24">
        <f t="shared" si="6"/>
        <v>0.5</v>
      </c>
      <c r="J7" s="24">
        <f t="shared" si="7"/>
        <v>0.5</v>
      </c>
      <c r="K7" s="24">
        <f t="shared" si="8"/>
        <v>0</v>
      </c>
      <c r="L7" s="24">
        <f t="shared" si="9"/>
        <v>0</v>
      </c>
      <c r="M7" s="24">
        <f t="shared" si="10"/>
        <v>-1.5</v>
      </c>
      <c r="N7" s="24">
        <f t="shared" si="11"/>
        <v>-0.5</v>
      </c>
      <c r="O7" s="24">
        <f t="shared" si="12"/>
        <v>0.5</v>
      </c>
      <c r="P7" s="24">
        <f t="shared" si="13"/>
        <v>-1.25</v>
      </c>
      <c r="Q7" s="24">
        <f t="shared" si="14"/>
        <v>0</v>
      </c>
      <c r="R7" s="24">
        <f t="shared" si="15"/>
        <v>0.5</v>
      </c>
    </row>
    <row r="8" spans="1:18" outlineLevel="1" x14ac:dyDescent="0.2">
      <c r="A8" s="22">
        <v>0.5</v>
      </c>
      <c r="B8" s="24">
        <v>0.5</v>
      </c>
      <c r="C8" s="24">
        <f t="shared" si="0"/>
        <v>0</v>
      </c>
      <c r="D8" s="24">
        <f t="shared" si="1"/>
        <v>1</v>
      </c>
      <c r="E8" s="24">
        <f t="shared" si="2"/>
        <v>0</v>
      </c>
      <c r="F8" s="24">
        <f t="shared" si="3"/>
        <v>1</v>
      </c>
      <c r="G8" s="24">
        <f t="shared" si="4"/>
        <v>0.5</v>
      </c>
      <c r="H8" s="24">
        <f t="shared" si="5"/>
        <v>0.5</v>
      </c>
      <c r="I8" s="24">
        <f t="shared" si="6"/>
        <v>0.5</v>
      </c>
      <c r="J8" s="24">
        <f t="shared" si="7"/>
        <v>0.5</v>
      </c>
      <c r="K8" s="24">
        <f t="shared" si="8"/>
        <v>0.5</v>
      </c>
      <c r="L8" s="24">
        <f t="shared" si="9"/>
        <v>0</v>
      </c>
      <c r="M8" s="24">
        <f t="shared" si="10"/>
        <v>0.5</v>
      </c>
      <c r="N8" s="24">
        <f t="shared" si="11"/>
        <v>-0.5</v>
      </c>
      <c r="O8" s="24">
        <f t="shared" si="12"/>
        <v>0.5</v>
      </c>
      <c r="P8" s="24">
        <f t="shared" si="13"/>
        <v>-1.25</v>
      </c>
      <c r="Q8" s="24">
        <f t="shared" si="14"/>
        <v>0</v>
      </c>
      <c r="R8" s="24">
        <f t="shared" si="15"/>
        <v>0.5</v>
      </c>
    </row>
    <row r="9" spans="1:18" outlineLevel="1" x14ac:dyDescent="0.2">
      <c r="A9" s="25">
        <v>0.62500000000000011</v>
      </c>
      <c r="B9" s="24">
        <v>0.62500000000000011</v>
      </c>
      <c r="C9" s="24">
        <f t="shared" si="0"/>
        <v>0</v>
      </c>
      <c r="D9" s="24">
        <f t="shared" si="1"/>
        <v>1</v>
      </c>
      <c r="E9" s="24">
        <f t="shared" si="2"/>
        <v>1</v>
      </c>
      <c r="F9" s="24">
        <f t="shared" si="3"/>
        <v>1</v>
      </c>
      <c r="G9" s="24">
        <f t="shared" si="4"/>
        <v>0.5</v>
      </c>
      <c r="H9" s="24">
        <f t="shared" si="5"/>
        <v>1.5</v>
      </c>
      <c r="I9" s="24">
        <f t="shared" si="6"/>
        <v>0.5</v>
      </c>
      <c r="J9" s="24">
        <f t="shared" si="7"/>
        <v>0.5</v>
      </c>
      <c r="K9" s="24">
        <f t="shared" si="8"/>
        <v>0.5</v>
      </c>
      <c r="L9" s="24">
        <f t="shared" si="9"/>
        <v>0</v>
      </c>
      <c r="M9" s="24">
        <f t="shared" si="10"/>
        <v>0.5</v>
      </c>
      <c r="N9" s="24">
        <f t="shared" si="11"/>
        <v>-0.5</v>
      </c>
      <c r="O9" s="24">
        <f t="shared" si="12"/>
        <v>2.5</v>
      </c>
      <c r="P9" s="24">
        <f t="shared" si="13"/>
        <v>-1.25</v>
      </c>
      <c r="Q9" s="24">
        <f t="shared" si="14"/>
        <v>1</v>
      </c>
      <c r="R9" s="24">
        <f t="shared" si="15"/>
        <v>0.5</v>
      </c>
    </row>
    <row r="10" spans="1:18" outlineLevel="1" x14ac:dyDescent="0.2">
      <c r="A10" s="22">
        <v>0.75000000000000011</v>
      </c>
      <c r="B10" s="24">
        <v>0.75000000000000011</v>
      </c>
      <c r="C10" s="24">
        <f t="shared" si="0"/>
        <v>0</v>
      </c>
      <c r="D10" s="24">
        <f t="shared" si="1"/>
        <v>1</v>
      </c>
      <c r="E10" s="24">
        <f t="shared" si="2"/>
        <v>1</v>
      </c>
      <c r="F10" s="24">
        <f t="shared" si="3"/>
        <v>1</v>
      </c>
      <c r="G10" s="24">
        <f t="shared" si="4"/>
        <v>0.5</v>
      </c>
      <c r="H10" s="24">
        <f t="shared" si="5"/>
        <v>1.5</v>
      </c>
      <c r="I10" s="24">
        <f t="shared" si="6"/>
        <v>0.5</v>
      </c>
      <c r="J10" s="24">
        <f t="shared" si="7"/>
        <v>0.5</v>
      </c>
      <c r="K10" s="24">
        <f t="shared" si="8"/>
        <v>0.5</v>
      </c>
      <c r="L10" s="24">
        <f t="shared" si="9"/>
        <v>0</v>
      </c>
      <c r="M10" s="24">
        <f t="shared" si="10"/>
        <v>0.5</v>
      </c>
      <c r="N10" s="24">
        <f t="shared" si="11"/>
        <v>-0.5</v>
      </c>
      <c r="O10" s="24">
        <f t="shared" si="12"/>
        <v>2.5</v>
      </c>
      <c r="P10" s="24">
        <f t="shared" si="13"/>
        <v>0.75000000000000011</v>
      </c>
      <c r="Q10" s="24">
        <f t="shared" si="14"/>
        <v>1</v>
      </c>
      <c r="R10" s="24">
        <f t="shared" si="15"/>
        <v>0.5</v>
      </c>
    </row>
    <row r="11" spans="1:18" outlineLevel="1" x14ac:dyDescent="0.2">
      <c r="A11" s="25">
        <v>0.87500000000000011</v>
      </c>
      <c r="B11" s="24">
        <v>0.87500000000000011</v>
      </c>
      <c r="C11" s="24">
        <f t="shared" si="0"/>
        <v>0</v>
      </c>
      <c r="D11" s="24">
        <f t="shared" si="1"/>
        <v>1</v>
      </c>
      <c r="E11" s="24">
        <f t="shared" si="2"/>
        <v>1</v>
      </c>
      <c r="F11" s="24">
        <f t="shared" si="3"/>
        <v>1</v>
      </c>
      <c r="G11" s="24">
        <f t="shared" si="4"/>
        <v>0.5</v>
      </c>
      <c r="H11" s="24">
        <f t="shared" si="5"/>
        <v>1.5</v>
      </c>
      <c r="I11" s="24">
        <f t="shared" si="6"/>
        <v>0.5</v>
      </c>
      <c r="J11" s="24">
        <f t="shared" si="7"/>
        <v>0.5</v>
      </c>
      <c r="K11" s="24">
        <f t="shared" si="8"/>
        <v>0.5</v>
      </c>
      <c r="L11" s="24">
        <f t="shared" si="9"/>
        <v>0</v>
      </c>
      <c r="M11" s="24">
        <f t="shared" si="10"/>
        <v>0.5</v>
      </c>
      <c r="N11" s="24">
        <f t="shared" si="11"/>
        <v>-0.5</v>
      </c>
      <c r="O11" s="24">
        <f t="shared" si="12"/>
        <v>2.5</v>
      </c>
      <c r="P11" s="24">
        <f t="shared" si="13"/>
        <v>0.75000000000000011</v>
      </c>
      <c r="Q11" s="24">
        <f t="shared" si="14"/>
        <v>1</v>
      </c>
      <c r="R11" s="24">
        <f t="shared" si="15"/>
        <v>0.5</v>
      </c>
    </row>
    <row r="12" spans="1:18" outlineLevel="1" x14ac:dyDescent="0.2">
      <c r="A12" s="22">
        <v>1</v>
      </c>
      <c r="B12" s="24">
        <v>1</v>
      </c>
      <c r="C12" s="24">
        <f t="shared" si="0"/>
        <v>1</v>
      </c>
      <c r="D12" s="24">
        <f t="shared" si="1"/>
        <v>1</v>
      </c>
      <c r="E12" s="24">
        <f t="shared" si="2"/>
        <v>1</v>
      </c>
      <c r="F12" s="24">
        <f t="shared" si="3"/>
        <v>1</v>
      </c>
      <c r="G12" s="24">
        <f t="shared" si="4"/>
        <v>0.5</v>
      </c>
      <c r="H12" s="24">
        <f t="shared" si="5"/>
        <v>1.5</v>
      </c>
      <c r="I12" s="24">
        <f t="shared" si="6"/>
        <v>0.5</v>
      </c>
      <c r="J12" s="24">
        <f t="shared" si="7"/>
        <v>1.5</v>
      </c>
      <c r="K12" s="24">
        <f t="shared" si="8"/>
        <v>1</v>
      </c>
      <c r="L12" s="24">
        <f t="shared" si="9"/>
        <v>0</v>
      </c>
      <c r="M12" s="24">
        <f t="shared" si="10"/>
        <v>0.5</v>
      </c>
      <c r="N12" s="24">
        <f t="shared" si="11"/>
        <v>-0.5</v>
      </c>
      <c r="O12" s="24">
        <f t="shared" si="12"/>
        <v>2.5</v>
      </c>
      <c r="P12" s="24">
        <f t="shared" si="13"/>
        <v>0.75000000000000011</v>
      </c>
      <c r="Q12" s="24">
        <f t="shared" si="14"/>
        <v>1</v>
      </c>
      <c r="R12" s="24">
        <f t="shared" si="15"/>
        <v>0.5</v>
      </c>
    </row>
    <row r="13" spans="1:18" outlineLevel="1" x14ac:dyDescent="0.2">
      <c r="A13" s="25">
        <v>1.125</v>
      </c>
      <c r="B13" s="24">
        <v>1.125</v>
      </c>
      <c r="C13" s="24">
        <f t="shared" si="0"/>
        <v>1</v>
      </c>
      <c r="D13" s="24">
        <f t="shared" si="1"/>
        <v>2</v>
      </c>
      <c r="E13" s="24">
        <f t="shared" si="2"/>
        <v>1</v>
      </c>
      <c r="F13" s="24">
        <f t="shared" si="3"/>
        <v>1</v>
      </c>
      <c r="G13" s="24">
        <f t="shared" si="4"/>
        <v>0.5</v>
      </c>
      <c r="H13" s="24">
        <f t="shared" si="5"/>
        <v>1.5</v>
      </c>
      <c r="I13" s="24">
        <f t="shared" si="6"/>
        <v>1.5</v>
      </c>
      <c r="J13" s="24">
        <f t="shared" si="7"/>
        <v>1.5</v>
      </c>
      <c r="K13" s="24">
        <f t="shared" si="8"/>
        <v>1</v>
      </c>
      <c r="L13" s="24">
        <f t="shared" si="9"/>
        <v>0</v>
      </c>
      <c r="M13" s="24">
        <f t="shared" si="10"/>
        <v>0.5</v>
      </c>
      <c r="N13" s="24">
        <f t="shared" si="11"/>
        <v>-0.5</v>
      </c>
      <c r="O13" s="24">
        <f t="shared" si="12"/>
        <v>2.5</v>
      </c>
      <c r="P13" s="24">
        <f t="shared" si="13"/>
        <v>0.75000000000000011</v>
      </c>
      <c r="Q13" s="24">
        <f t="shared" si="14"/>
        <v>1</v>
      </c>
      <c r="R13" s="24">
        <f t="shared" si="15"/>
        <v>1.5</v>
      </c>
    </row>
    <row r="14" spans="1:18" outlineLevel="1" x14ac:dyDescent="0.2">
      <c r="A14" s="22">
        <v>1.25</v>
      </c>
      <c r="B14" s="24">
        <v>1.25</v>
      </c>
      <c r="C14" s="24">
        <f t="shared" si="0"/>
        <v>1</v>
      </c>
      <c r="D14" s="24">
        <f t="shared" si="1"/>
        <v>2</v>
      </c>
      <c r="E14" s="24">
        <f t="shared" si="2"/>
        <v>1</v>
      </c>
      <c r="F14" s="24">
        <f t="shared" si="3"/>
        <v>1</v>
      </c>
      <c r="G14" s="24">
        <f t="shared" si="4"/>
        <v>0.5</v>
      </c>
      <c r="H14" s="24">
        <f t="shared" si="5"/>
        <v>1.5</v>
      </c>
      <c r="I14" s="24">
        <f t="shared" si="6"/>
        <v>1.5</v>
      </c>
      <c r="J14" s="24">
        <f t="shared" si="7"/>
        <v>1.5</v>
      </c>
      <c r="K14" s="24">
        <f t="shared" si="8"/>
        <v>1</v>
      </c>
      <c r="L14" s="24">
        <f t="shared" si="9"/>
        <v>0</v>
      </c>
      <c r="M14" s="24">
        <f t="shared" si="10"/>
        <v>0.5</v>
      </c>
      <c r="N14" s="24">
        <f t="shared" si="11"/>
        <v>-0.5</v>
      </c>
      <c r="O14" s="24">
        <f t="shared" si="12"/>
        <v>2.5</v>
      </c>
      <c r="P14" s="24">
        <f t="shared" si="13"/>
        <v>0.75000000000000011</v>
      </c>
      <c r="Q14" s="24">
        <f t="shared" si="14"/>
        <v>1</v>
      </c>
      <c r="R14" s="24">
        <f t="shared" si="15"/>
        <v>1.5</v>
      </c>
    </row>
    <row r="15" spans="1:18" outlineLevel="1" x14ac:dyDescent="0.2">
      <c r="A15" s="25">
        <v>1.375</v>
      </c>
      <c r="B15" s="24">
        <v>1.375</v>
      </c>
      <c r="C15" s="24">
        <f t="shared" si="0"/>
        <v>1</v>
      </c>
      <c r="D15" s="24">
        <f t="shared" si="1"/>
        <v>2</v>
      </c>
      <c r="E15" s="24">
        <f t="shared" si="2"/>
        <v>1</v>
      </c>
      <c r="F15" s="24">
        <f t="shared" si="3"/>
        <v>1</v>
      </c>
      <c r="G15" s="24">
        <f t="shared" si="4"/>
        <v>0.5</v>
      </c>
      <c r="H15" s="24">
        <f t="shared" si="5"/>
        <v>1.5</v>
      </c>
      <c r="I15" s="24">
        <f t="shared" si="6"/>
        <v>1.5</v>
      </c>
      <c r="J15" s="24">
        <f t="shared" si="7"/>
        <v>1.5</v>
      </c>
      <c r="K15" s="24">
        <f t="shared" si="8"/>
        <v>1</v>
      </c>
      <c r="L15" s="24">
        <f t="shared" si="9"/>
        <v>0</v>
      </c>
      <c r="M15" s="24">
        <f t="shared" si="10"/>
        <v>0.5</v>
      </c>
      <c r="N15" s="24">
        <f t="shared" si="11"/>
        <v>-0.5</v>
      </c>
      <c r="O15" s="24">
        <f t="shared" si="12"/>
        <v>2.5</v>
      </c>
      <c r="P15" s="24">
        <f t="shared" si="13"/>
        <v>0.75000000000000011</v>
      </c>
      <c r="Q15" s="24">
        <f t="shared" si="14"/>
        <v>1</v>
      </c>
      <c r="R15" s="24">
        <f t="shared" si="15"/>
        <v>1.5</v>
      </c>
    </row>
    <row r="16" spans="1:18" outlineLevel="1" x14ac:dyDescent="0.2">
      <c r="A16" s="22">
        <v>1.5</v>
      </c>
      <c r="B16" s="24">
        <v>1.5</v>
      </c>
      <c r="C16" s="24">
        <f t="shared" si="0"/>
        <v>1</v>
      </c>
      <c r="D16" s="24">
        <f t="shared" si="1"/>
        <v>2</v>
      </c>
      <c r="E16" s="24">
        <f t="shared" si="2"/>
        <v>1</v>
      </c>
      <c r="F16" s="24">
        <f t="shared" si="3"/>
        <v>2</v>
      </c>
      <c r="G16" s="24">
        <f t="shared" si="4"/>
        <v>1.5</v>
      </c>
      <c r="H16" s="24">
        <f t="shared" si="5"/>
        <v>1.5</v>
      </c>
      <c r="I16" s="24">
        <f t="shared" si="6"/>
        <v>1.5</v>
      </c>
      <c r="J16" s="24">
        <f t="shared" si="7"/>
        <v>1.5</v>
      </c>
      <c r="K16" s="24">
        <f t="shared" si="8"/>
        <v>1.5</v>
      </c>
      <c r="L16" s="24">
        <f t="shared" si="9"/>
        <v>0</v>
      </c>
      <c r="M16" s="24">
        <f t="shared" si="10"/>
        <v>0.5</v>
      </c>
      <c r="N16" s="24">
        <f t="shared" si="11"/>
        <v>1.5</v>
      </c>
      <c r="O16" s="24">
        <f t="shared" si="12"/>
        <v>2.5</v>
      </c>
      <c r="P16" s="24">
        <f t="shared" si="13"/>
        <v>0.75000000000000011</v>
      </c>
      <c r="Q16" s="24">
        <f t="shared" si="14"/>
        <v>1</v>
      </c>
      <c r="R16" s="24">
        <f t="shared" si="15"/>
        <v>1.5</v>
      </c>
    </row>
    <row r="17" spans="1:18" outlineLevel="1" x14ac:dyDescent="0.2">
      <c r="A17" s="25">
        <v>1.625</v>
      </c>
      <c r="B17" s="24">
        <v>1.625</v>
      </c>
      <c r="C17" s="24">
        <f t="shared" si="0"/>
        <v>1</v>
      </c>
      <c r="D17" s="24">
        <f t="shared" si="1"/>
        <v>2</v>
      </c>
      <c r="E17" s="24">
        <f t="shared" si="2"/>
        <v>2</v>
      </c>
      <c r="F17" s="24">
        <f t="shared" si="3"/>
        <v>2</v>
      </c>
      <c r="G17" s="24">
        <f t="shared" si="4"/>
        <v>1.5</v>
      </c>
      <c r="H17" s="24">
        <f t="shared" si="5"/>
        <v>2.5</v>
      </c>
      <c r="I17" s="24">
        <f t="shared" si="6"/>
        <v>1.5</v>
      </c>
      <c r="J17" s="24">
        <f t="shared" si="7"/>
        <v>1.5</v>
      </c>
      <c r="K17" s="24">
        <f t="shared" si="8"/>
        <v>1.5</v>
      </c>
      <c r="L17" s="24">
        <f t="shared" si="9"/>
        <v>0</v>
      </c>
      <c r="M17" s="24">
        <f t="shared" si="10"/>
        <v>0.5</v>
      </c>
      <c r="N17" s="24">
        <f t="shared" si="11"/>
        <v>1.5</v>
      </c>
      <c r="O17" s="24">
        <f t="shared" si="12"/>
        <v>2.5</v>
      </c>
      <c r="P17" s="24">
        <f t="shared" si="13"/>
        <v>0.75000000000000011</v>
      </c>
      <c r="Q17" s="24">
        <f t="shared" si="14"/>
        <v>2</v>
      </c>
      <c r="R17" s="24">
        <f t="shared" si="15"/>
        <v>1.5</v>
      </c>
    </row>
    <row r="18" spans="1:18" outlineLevel="1" x14ac:dyDescent="0.2">
      <c r="A18" s="22">
        <v>1.7500000000000002</v>
      </c>
      <c r="B18" s="24">
        <v>1.7500000000000002</v>
      </c>
      <c r="C18" s="24">
        <f t="shared" si="0"/>
        <v>1</v>
      </c>
      <c r="D18" s="24">
        <f t="shared" si="1"/>
        <v>2</v>
      </c>
      <c r="E18" s="24">
        <f t="shared" si="2"/>
        <v>2</v>
      </c>
      <c r="F18" s="24">
        <f t="shared" si="3"/>
        <v>2</v>
      </c>
      <c r="G18" s="24">
        <f t="shared" si="4"/>
        <v>1.5</v>
      </c>
      <c r="H18" s="24">
        <f t="shared" si="5"/>
        <v>2.5</v>
      </c>
      <c r="I18" s="24">
        <f t="shared" si="6"/>
        <v>1.5</v>
      </c>
      <c r="J18" s="24">
        <f t="shared" si="7"/>
        <v>1.5</v>
      </c>
      <c r="K18" s="24">
        <f t="shared" si="8"/>
        <v>1.5</v>
      </c>
      <c r="L18" s="24">
        <f t="shared" si="9"/>
        <v>0</v>
      </c>
      <c r="M18" s="24">
        <f t="shared" si="10"/>
        <v>0.5</v>
      </c>
      <c r="N18" s="24">
        <f t="shared" si="11"/>
        <v>1.5</v>
      </c>
      <c r="O18" s="24">
        <f t="shared" si="12"/>
        <v>2.5</v>
      </c>
      <c r="P18" s="24">
        <f t="shared" si="13"/>
        <v>0.75000000000000011</v>
      </c>
      <c r="Q18" s="24">
        <f t="shared" si="14"/>
        <v>2</v>
      </c>
      <c r="R18" s="24">
        <f t="shared" si="15"/>
        <v>1.5</v>
      </c>
    </row>
    <row r="19" spans="1:18" outlineLevel="1" x14ac:dyDescent="0.2">
      <c r="A19" s="25">
        <v>1.875</v>
      </c>
      <c r="B19" s="24">
        <v>1.875</v>
      </c>
      <c r="C19" s="24">
        <f t="shared" si="0"/>
        <v>1</v>
      </c>
      <c r="D19" s="24">
        <f t="shared" si="1"/>
        <v>2</v>
      </c>
      <c r="E19" s="24">
        <f t="shared" si="2"/>
        <v>2</v>
      </c>
      <c r="F19" s="24">
        <f t="shared" si="3"/>
        <v>2</v>
      </c>
      <c r="G19" s="24">
        <f t="shared" si="4"/>
        <v>1.5</v>
      </c>
      <c r="H19" s="24">
        <f t="shared" si="5"/>
        <v>2.5</v>
      </c>
      <c r="I19" s="24">
        <f t="shared" si="6"/>
        <v>1.5</v>
      </c>
      <c r="J19" s="24">
        <f t="shared" si="7"/>
        <v>1.5</v>
      </c>
      <c r="K19" s="24">
        <f t="shared" si="8"/>
        <v>1.5</v>
      </c>
      <c r="L19" s="24">
        <f t="shared" si="9"/>
        <v>0</v>
      </c>
      <c r="M19" s="24">
        <f t="shared" si="10"/>
        <v>0.5</v>
      </c>
      <c r="N19" s="24">
        <f t="shared" si="11"/>
        <v>1.5</v>
      </c>
      <c r="O19" s="24">
        <f t="shared" si="12"/>
        <v>2.5</v>
      </c>
      <c r="P19" s="24">
        <f t="shared" si="13"/>
        <v>0.75000000000000011</v>
      </c>
      <c r="Q19" s="24">
        <f t="shared" si="14"/>
        <v>2</v>
      </c>
      <c r="R19" s="24">
        <f t="shared" si="15"/>
        <v>1.5</v>
      </c>
    </row>
    <row r="20" spans="1:18" outlineLevel="1" x14ac:dyDescent="0.2">
      <c r="A20" s="22">
        <v>2</v>
      </c>
      <c r="B20" s="24">
        <v>2</v>
      </c>
      <c r="C20" s="24">
        <f t="shared" si="0"/>
        <v>2</v>
      </c>
      <c r="D20" s="24">
        <f t="shared" si="1"/>
        <v>2</v>
      </c>
      <c r="E20" s="24">
        <f t="shared" si="2"/>
        <v>2</v>
      </c>
      <c r="F20" s="24">
        <f t="shared" si="3"/>
        <v>2</v>
      </c>
      <c r="G20" s="24">
        <f t="shared" si="4"/>
        <v>1.5</v>
      </c>
      <c r="H20" s="24">
        <f t="shared" si="5"/>
        <v>2.5</v>
      </c>
      <c r="I20" s="24">
        <f t="shared" si="6"/>
        <v>1.5</v>
      </c>
      <c r="J20" s="24">
        <f t="shared" si="7"/>
        <v>2.5</v>
      </c>
      <c r="K20" s="24">
        <f t="shared" si="8"/>
        <v>2</v>
      </c>
      <c r="L20" s="24">
        <f t="shared" si="9"/>
        <v>2</v>
      </c>
      <c r="M20" s="24">
        <f t="shared" si="10"/>
        <v>0.5</v>
      </c>
      <c r="N20" s="24">
        <f t="shared" si="11"/>
        <v>1.5</v>
      </c>
      <c r="O20" s="24">
        <f t="shared" si="12"/>
        <v>2.5</v>
      </c>
      <c r="P20" s="24">
        <f t="shared" si="13"/>
        <v>0.75000000000000011</v>
      </c>
      <c r="Q20" s="24">
        <f t="shared" si="14"/>
        <v>2</v>
      </c>
      <c r="R20" s="24">
        <f t="shared" si="15"/>
        <v>1.5</v>
      </c>
    </row>
    <row r="21" spans="1:18" outlineLevel="1" x14ac:dyDescent="0.2">
      <c r="A21" s="25">
        <v>2.125</v>
      </c>
      <c r="B21" s="24">
        <v>2.125</v>
      </c>
      <c r="C21" s="24">
        <f t="shared" si="0"/>
        <v>2</v>
      </c>
      <c r="D21" s="24">
        <f t="shared" si="1"/>
        <v>3</v>
      </c>
      <c r="E21" s="24">
        <f t="shared" si="2"/>
        <v>2</v>
      </c>
      <c r="F21" s="24">
        <f t="shared" si="3"/>
        <v>2</v>
      </c>
      <c r="G21" s="24">
        <f t="shared" si="4"/>
        <v>1.5</v>
      </c>
      <c r="H21" s="24">
        <f t="shared" si="5"/>
        <v>2.5</v>
      </c>
      <c r="I21" s="24">
        <f t="shared" si="6"/>
        <v>2.5</v>
      </c>
      <c r="J21" s="24">
        <f t="shared" si="7"/>
        <v>2.5</v>
      </c>
      <c r="K21" s="24">
        <f t="shared" si="8"/>
        <v>2</v>
      </c>
      <c r="L21" s="24">
        <f t="shared" si="9"/>
        <v>2</v>
      </c>
      <c r="M21" s="24">
        <f t="shared" si="10"/>
        <v>0.5</v>
      </c>
      <c r="N21" s="24">
        <f t="shared" si="11"/>
        <v>1.5</v>
      </c>
      <c r="O21" s="24">
        <f t="shared" si="12"/>
        <v>2.5</v>
      </c>
      <c r="P21" s="24">
        <f t="shared" si="13"/>
        <v>0.75000000000000011</v>
      </c>
      <c r="Q21" s="24">
        <f t="shared" si="14"/>
        <v>2</v>
      </c>
      <c r="R21" s="24">
        <f t="shared" si="15"/>
        <v>2.5</v>
      </c>
    </row>
    <row r="22" spans="1:18" outlineLevel="1" x14ac:dyDescent="0.2">
      <c r="A22" s="22">
        <v>2.25</v>
      </c>
      <c r="B22" s="24">
        <v>2.25</v>
      </c>
      <c r="C22" s="24">
        <f t="shared" si="0"/>
        <v>2</v>
      </c>
      <c r="D22" s="24">
        <f t="shared" si="1"/>
        <v>3</v>
      </c>
      <c r="E22" s="24">
        <f t="shared" si="2"/>
        <v>2</v>
      </c>
      <c r="F22" s="24">
        <f t="shared" si="3"/>
        <v>2</v>
      </c>
      <c r="G22" s="24">
        <f t="shared" si="4"/>
        <v>1.5</v>
      </c>
      <c r="H22" s="24">
        <f t="shared" si="5"/>
        <v>2.5</v>
      </c>
      <c r="I22" s="24">
        <f t="shared" si="6"/>
        <v>2.5</v>
      </c>
      <c r="J22" s="24">
        <f t="shared" si="7"/>
        <v>2.5</v>
      </c>
      <c r="K22" s="24">
        <f t="shared" si="8"/>
        <v>2</v>
      </c>
      <c r="L22" s="24">
        <f t="shared" si="9"/>
        <v>2</v>
      </c>
      <c r="M22" s="24">
        <f t="shared" si="10"/>
        <v>0.5</v>
      </c>
      <c r="N22" s="24">
        <f t="shared" si="11"/>
        <v>1.5</v>
      </c>
      <c r="O22" s="24">
        <f t="shared" si="12"/>
        <v>2.5</v>
      </c>
      <c r="P22" s="24">
        <f t="shared" si="13"/>
        <v>0.75000000000000011</v>
      </c>
      <c r="Q22" s="24">
        <f t="shared" si="14"/>
        <v>2</v>
      </c>
      <c r="R22" s="24">
        <f t="shared" si="15"/>
        <v>2.5</v>
      </c>
    </row>
    <row r="23" spans="1:18" outlineLevel="1" x14ac:dyDescent="0.2">
      <c r="A23" s="25">
        <v>2.3749999999999996</v>
      </c>
      <c r="B23" s="24">
        <v>2.3749999999999996</v>
      </c>
      <c r="C23" s="24">
        <f t="shared" si="0"/>
        <v>2</v>
      </c>
      <c r="D23" s="24">
        <f t="shared" si="1"/>
        <v>3</v>
      </c>
      <c r="E23" s="24">
        <f t="shared" si="2"/>
        <v>2</v>
      </c>
      <c r="F23" s="24">
        <f t="shared" si="3"/>
        <v>2</v>
      </c>
      <c r="G23" s="24">
        <f t="shared" si="4"/>
        <v>1.5</v>
      </c>
      <c r="H23" s="24">
        <f t="shared" si="5"/>
        <v>2.5</v>
      </c>
      <c r="I23" s="24">
        <f t="shared" si="6"/>
        <v>2.5</v>
      </c>
      <c r="J23" s="24">
        <f t="shared" si="7"/>
        <v>2.5</v>
      </c>
      <c r="K23" s="24">
        <f t="shared" si="8"/>
        <v>2</v>
      </c>
      <c r="L23" s="24">
        <f t="shared" si="9"/>
        <v>2</v>
      </c>
      <c r="M23" s="24">
        <f t="shared" si="10"/>
        <v>0.5</v>
      </c>
      <c r="N23" s="24">
        <f t="shared" si="11"/>
        <v>1.5</v>
      </c>
      <c r="O23" s="24">
        <f t="shared" si="12"/>
        <v>2.5</v>
      </c>
      <c r="P23" s="24">
        <f t="shared" si="13"/>
        <v>0.75000000000000011</v>
      </c>
      <c r="Q23" s="24">
        <f t="shared" si="14"/>
        <v>2</v>
      </c>
      <c r="R23" s="24">
        <f t="shared" si="15"/>
        <v>2.5</v>
      </c>
    </row>
    <row r="24" spans="1:18" outlineLevel="1" x14ac:dyDescent="0.2">
      <c r="A24" s="22">
        <v>2.5</v>
      </c>
      <c r="B24" s="24">
        <v>2.5</v>
      </c>
      <c r="C24" s="24">
        <f t="shared" si="0"/>
        <v>2</v>
      </c>
      <c r="D24" s="24">
        <f t="shared" si="1"/>
        <v>3</v>
      </c>
      <c r="E24" s="24">
        <f t="shared" si="2"/>
        <v>2</v>
      </c>
      <c r="F24" s="24">
        <f t="shared" si="3"/>
        <v>3</v>
      </c>
      <c r="G24" s="24">
        <f t="shared" si="4"/>
        <v>2.5</v>
      </c>
      <c r="H24" s="24">
        <f t="shared" si="5"/>
        <v>2.5</v>
      </c>
      <c r="I24" s="24">
        <f t="shared" si="6"/>
        <v>2.5</v>
      </c>
      <c r="J24" s="24">
        <f t="shared" si="7"/>
        <v>2.5</v>
      </c>
      <c r="K24" s="24">
        <f t="shared" si="8"/>
        <v>2.5</v>
      </c>
      <c r="L24" s="24">
        <f t="shared" si="9"/>
        <v>2</v>
      </c>
      <c r="M24" s="24">
        <f t="shared" si="10"/>
        <v>2.5</v>
      </c>
      <c r="N24" s="24">
        <f t="shared" si="11"/>
        <v>1.5</v>
      </c>
      <c r="O24" s="24">
        <f t="shared" si="12"/>
        <v>2.5</v>
      </c>
      <c r="P24" s="24">
        <f t="shared" si="13"/>
        <v>0.75000000000000011</v>
      </c>
      <c r="Q24" s="24">
        <f t="shared" si="14"/>
        <v>2</v>
      </c>
      <c r="R24" s="24">
        <f t="shared" si="15"/>
        <v>2.5</v>
      </c>
    </row>
    <row r="25" spans="1:18" outlineLevel="1" x14ac:dyDescent="0.2">
      <c r="A25" s="25">
        <v>2.625</v>
      </c>
      <c r="B25" s="24">
        <v>2.625</v>
      </c>
      <c r="C25" s="24">
        <f t="shared" si="0"/>
        <v>2</v>
      </c>
      <c r="D25" s="24">
        <f t="shared" si="1"/>
        <v>3</v>
      </c>
      <c r="E25" s="24">
        <f t="shared" si="2"/>
        <v>3</v>
      </c>
      <c r="F25" s="24">
        <f t="shared" si="3"/>
        <v>3</v>
      </c>
      <c r="G25" s="24">
        <f t="shared" si="4"/>
        <v>2.5</v>
      </c>
      <c r="H25" s="24">
        <f t="shared" si="5"/>
        <v>3.5</v>
      </c>
      <c r="I25" s="24">
        <f t="shared" si="6"/>
        <v>2.5</v>
      </c>
      <c r="J25" s="24">
        <f t="shared" si="7"/>
        <v>2.5</v>
      </c>
      <c r="K25" s="24">
        <f t="shared" si="8"/>
        <v>2.5</v>
      </c>
      <c r="L25" s="24">
        <f t="shared" si="9"/>
        <v>2</v>
      </c>
      <c r="M25" s="24">
        <f t="shared" si="10"/>
        <v>2.5</v>
      </c>
      <c r="N25" s="24">
        <f t="shared" si="11"/>
        <v>1.5</v>
      </c>
      <c r="O25" s="24">
        <f t="shared" si="12"/>
        <v>4.5</v>
      </c>
      <c r="P25" s="24">
        <f t="shared" si="13"/>
        <v>0.75000000000000011</v>
      </c>
      <c r="Q25" s="24">
        <f t="shared" si="14"/>
        <v>3</v>
      </c>
      <c r="R25" s="24">
        <f t="shared" si="15"/>
        <v>2.5</v>
      </c>
    </row>
    <row r="26" spans="1:18" outlineLevel="1" x14ac:dyDescent="0.2">
      <c r="A26" s="22">
        <v>2.75</v>
      </c>
      <c r="B26" s="24">
        <v>2.75</v>
      </c>
      <c r="C26" s="24">
        <f t="shared" si="0"/>
        <v>2</v>
      </c>
      <c r="D26" s="24">
        <f t="shared" si="1"/>
        <v>3</v>
      </c>
      <c r="E26" s="24">
        <f t="shared" si="2"/>
        <v>3</v>
      </c>
      <c r="F26" s="24">
        <f t="shared" si="3"/>
        <v>3</v>
      </c>
      <c r="G26" s="24">
        <f t="shared" si="4"/>
        <v>2.5</v>
      </c>
      <c r="H26" s="24">
        <f t="shared" si="5"/>
        <v>3.5</v>
      </c>
      <c r="I26" s="24">
        <f t="shared" si="6"/>
        <v>2.5</v>
      </c>
      <c r="J26" s="24">
        <f t="shared" si="7"/>
        <v>2.5</v>
      </c>
      <c r="K26" s="24">
        <f t="shared" si="8"/>
        <v>2.5</v>
      </c>
      <c r="L26" s="24">
        <f t="shared" si="9"/>
        <v>2</v>
      </c>
      <c r="M26" s="24">
        <f t="shared" si="10"/>
        <v>2.5</v>
      </c>
      <c r="N26" s="24">
        <f t="shared" si="11"/>
        <v>1.5</v>
      </c>
      <c r="O26" s="24">
        <f t="shared" si="12"/>
        <v>4.5</v>
      </c>
      <c r="P26" s="24">
        <f t="shared" si="13"/>
        <v>2.75</v>
      </c>
      <c r="Q26" s="24">
        <f t="shared" si="14"/>
        <v>3</v>
      </c>
      <c r="R26" s="24">
        <f t="shared" si="15"/>
        <v>2.5</v>
      </c>
    </row>
    <row r="27" spans="1:18" outlineLevel="1" x14ac:dyDescent="0.2">
      <c r="A27" s="25">
        <v>2.8749999999999996</v>
      </c>
      <c r="B27" s="24">
        <v>2.8749999999999996</v>
      </c>
      <c r="C27" s="24">
        <f t="shared" si="0"/>
        <v>2</v>
      </c>
      <c r="D27" s="24">
        <f t="shared" si="1"/>
        <v>3</v>
      </c>
      <c r="E27" s="24">
        <f t="shared" si="2"/>
        <v>3</v>
      </c>
      <c r="F27" s="24">
        <f t="shared" si="3"/>
        <v>3</v>
      </c>
      <c r="G27" s="24">
        <f t="shared" si="4"/>
        <v>2.5</v>
      </c>
      <c r="H27" s="24">
        <f t="shared" si="5"/>
        <v>3.5</v>
      </c>
      <c r="I27" s="24">
        <f t="shared" si="6"/>
        <v>2.5</v>
      </c>
      <c r="J27" s="24">
        <f t="shared" si="7"/>
        <v>2.5</v>
      </c>
      <c r="K27" s="24">
        <f t="shared" si="8"/>
        <v>2.5</v>
      </c>
      <c r="L27" s="24">
        <f t="shared" si="9"/>
        <v>2</v>
      </c>
      <c r="M27" s="24">
        <f t="shared" si="10"/>
        <v>2.5</v>
      </c>
      <c r="N27" s="24">
        <f t="shared" si="11"/>
        <v>1.5</v>
      </c>
      <c r="O27" s="24">
        <f t="shared" si="12"/>
        <v>4.5</v>
      </c>
      <c r="P27" s="24">
        <f t="shared" si="13"/>
        <v>2.75</v>
      </c>
      <c r="Q27" s="24">
        <f t="shared" si="14"/>
        <v>3</v>
      </c>
      <c r="R27" s="24">
        <f t="shared" si="15"/>
        <v>2.5</v>
      </c>
    </row>
    <row r="28" spans="1:18" outlineLevel="1" x14ac:dyDescent="0.2">
      <c r="A28" s="22">
        <v>3</v>
      </c>
      <c r="B28" s="24">
        <v>3</v>
      </c>
      <c r="C28" s="24">
        <f t="shared" si="0"/>
        <v>3</v>
      </c>
      <c r="D28" s="24">
        <f t="shared" si="1"/>
        <v>3</v>
      </c>
      <c r="E28" s="24">
        <f t="shared" si="2"/>
        <v>3</v>
      </c>
      <c r="F28" s="24">
        <f t="shared" si="3"/>
        <v>3</v>
      </c>
      <c r="G28" s="24">
        <f t="shared" si="4"/>
        <v>2.5</v>
      </c>
      <c r="H28" s="24">
        <f t="shared" si="5"/>
        <v>3.5</v>
      </c>
      <c r="I28" s="24">
        <f t="shared" si="6"/>
        <v>2.5</v>
      </c>
      <c r="J28" s="24">
        <f t="shared" si="7"/>
        <v>3.5</v>
      </c>
      <c r="K28" s="24">
        <f t="shared" si="8"/>
        <v>3</v>
      </c>
      <c r="L28" s="24">
        <f t="shared" si="9"/>
        <v>2</v>
      </c>
      <c r="M28" s="24">
        <f t="shared" si="10"/>
        <v>2.5</v>
      </c>
      <c r="N28" s="24">
        <f t="shared" si="11"/>
        <v>1.5</v>
      </c>
      <c r="O28" s="24">
        <f t="shared" si="12"/>
        <v>4.5</v>
      </c>
      <c r="P28" s="24">
        <f t="shared" si="13"/>
        <v>2.75</v>
      </c>
      <c r="Q28" s="24">
        <f t="shared" si="14"/>
        <v>3</v>
      </c>
      <c r="R28" s="24">
        <f t="shared" si="15"/>
        <v>2.5</v>
      </c>
    </row>
    <row r="29" spans="1:18" outlineLevel="1" x14ac:dyDescent="0.2">
      <c r="A29" s="25">
        <v>3.125</v>
      </c>
      <c r="B29" s="24">
        <v>3.125</v>
      </c>
      <c r="C29" s="24">
        <f t="shared" si="0"/>
        <v>3</v>
      </c>
      <c r="D29" s="24">
        <f t="shared" si="1"/>
        <v>4</v>
      </c>
      <c r="E29" s="24">
        <f t="shared" si="2"/>
        <v>3</v>
      </c>
      <c r="F29" s="24">
        <f t="shared" si="3"/>
        <v>3</v>
      </c>
      <c r="G29" s="24">
        <f t="shared" si="4"/>
        <v>2.5</v>
      </c>
      <c r="H29" s="24">
        <f t="shared" si="5"/>
        <v>3.5</v>
      </c>
      <c r="I29" s="24">
        <f t="shared" si="6"/>
        <v>3.5</v>
      </c>
      <c r="J29" s="24">
        <f t="shared" si="7"/>
        <v>3.5</v>
      </c>
      <c r="K29" s="24">
        <f t="shared" si="8"/>
        <v>3</v>
      </c>
      <c r="L29" s="24">
        <f t="shared" si="9"/>
        <v>2</v>
      </c>
      <c r="M29" s="24">
        <f t="shared" si="10"/>
        <v>2.5</v>
      </c>
      <c r="N29" s="24">
        <f t="shared" si="11"/>
        <v>1.5</v>
      </c>
      <c r="O29" s="24">
        <f t="shared" si="12"/>
        <v>4.5</v>
      </c>
      <c r="P29" s="24">
        <f t="shared" si="13"/>
        <v>2.75</v>
      </c>
      <c r="Q29" s="24">
        <f t="shared" si="14"/>
        <v>3</v>
      </c>
      <c r="R29" s="24">
        <f t="shared" si="15"/>
        <v>3.5</v>
      </c>
    </row>
    <row r="30" spans="1:18" outlineLevel="1" x14ac:dyDescent="0.2">
      <c r="A30" s="22">
        <v>3.25</v>
      </c>
      <c r="B30" s="24">
        <v>3.25</v>
      </c>
      <c r="C30" s="24">
        <f t="shared" si="0"/>
        <v>3</v>
      </c>
      <c r="D30" s="24">
        <f t="shared" si="1"/>
        <v>4</v>
      </c>
      <c r="E30" s="24">
        <f t="shared" si="2"/>
        <v>3</v>
      </c>
      <c r="F30" s="24">
        <f t="shared" si="3"/>
        <v>3</v>
      </c>
      <c r="G30" s="24">
        <f t="shared" si="4"/>
        <v>2.5</v>
      </c>
      <c r="H30" s="24">
        <f t="shared" si="5"/>
        <v>3.5</v>
      </c>
      <c r="I30" s="24">
        <f t="shared" si="6"/>
        <v>3.5</v>
      </c>
      <c r="J30" s="24">
        <f t="shared" si="7"/>
        <v>3.5</v>
      </c>
      <c r="K30" s="24">
        <f t="shared" si="8"/>
        <v>3</v>
      </c>
      <c r="L30" s="24">
        <f t="shared" si="9"/>
        <v>2</v>
      </c>
      <c r="M30" s="24">
        <f t="shared" si="10"/>
        <v>2.5</v>
      </c>
      <c r="N30" s="24">
        <f t="shared" si="11"/>
        <v>1.5</v>
      </c>
      <c r="O30" s="24">
        <f t="shared" si="12"/>
        <v>4.5</v>
      </c>
      <c r="P30" s="24">
        <f t="shared" si="13"/>
        <v>2.75</v>
      </c>
      <c r="Q30" s="24">
        <f t="shared" si="14"/>
        <v>3</v>
      </c>
      <c r="R30" s="24">
        <f t="shared" si="15"/>
        <v>3.5</v>
      </c>
    </row>
    <row r="31" spans="1:18" outlineLevel="1" x14ac:dyDescent="0.2">
      <c r="A31" s="25">
        <v>3.3749999999999996</v>
      </c>
      <c r="B31" s="24">
        <v>3.3749999999999996</v>
      </c>
      <c r="C31" s="24">
        <f t="shared" si="0"/>
        <v>3</v>
      </c>
      <c r="D31" s="24">
        <f t="shared" si="1"/>
        <v>4</v>
      </c>
      <c r="E31" s="24">
        <f t="shared" si="2"/>
        <v>3</v>
      </c>
      <c r="F31" s="24">
        <f t="shared" si="3"/>
        <v>3</v>
      </c>
      <c r="G31" s="24">
        <f t="shared" si="4"/>
        <v>2.5</v>
      </c>
      <c r="H31" s="24">
        <f t="shared" si="5"/>
        <v>3.5</v>
      </c>
      <c r="I31" s="24">
        <f t="shared" si="6"/>
        <v>3.5</v>
      </c>
      <c r="J31" s="24">
        <f t="shared" si="7"/>
        <v>3.5</v>
      </c>
      <c r="K31" s="24">
        <f t="shared" si="8"/>
        <v>3</v>
      </c>
      <c r="L31" s="24">
        <f t="shared" si="9"/>
        <v>2</v>
      </c>
      <c r="M31" s="24">
        <f t="shared" si="10"/>
        <v>2.5</v>
      </c>
      <c r="N31" s="24">
        <f t="shared" si="11"/>
        <v>1.5</v>
      </c>
      <c r="O31" s="24">
        <f t="shared" si="12"/>
        <v>4.5</v>
      </c>
      <c r="P31" s="24">
        <f t="shared" si="13"/>
        <v>2.75</v>
      </c>
      <c r="Q31" s="24">
        <f t="shared" si="14"/>
        <v>3</v>
      </c>
      <c r="R31" s="24">
        <f t="shared" si="15"/>
        <v>3.5</v>
      </c>
    </row>
    <row r="32" spans="1:18" outlineLevel="1" x14ac:dyDescent="0.2">
      <c r="A32" s="22">
        <v>3.5</v>
      </c>
      <c r="B32" s="24">
        <v>3.5</v>
      </c>
      <c r="C32" s="24">
        <f t="shared" si="0"/>
        <v>3</v>
      </c>
      <c r="D32" s="24">
        <f t="shared" si="1"/>
        <v>4</v>
      </c>
      <c r="E32" s="24">
        <f t="shared" si="2"/>
        <v>3</v>
      </c>
      <c r="F32" s="24">
        <f t="shared" si="3"/>
        <v>4</v>
      </c>
      <c r="G32" s="24">
        <f t="shared" si="4"/>
        <v>3.5</v>
      </c>
      <c r="H32" s="24">
        <f t="shared" si="5"/>
        <v>3.5</v>
      </c>
      <c r="I32" s="24">
        <f t="shared" si="6"/>
        <v>3.5</v>
      </c>
      <c r="J32" s="24">
        <f t="shared" si="7"/>
        <v>3.5</v>
      </c>
      <c r="K32" s="24">
        <f t="shared" si="8"/>
        <v>3.5</v>
      </c>
      <c r="L32" s="24">
        <f t="shared" si="9"/>
        <v>2</v>
      </c>
      <c r="M32" s="24">
        <f t="shared" si="10"/>
        <v>2.5</v>
      </c>
      <c r="N32" s="24">
        <f t="shared" si="11"/>
        <v>3.5</v>
      </c>
      <c r="O32" s="24">
        <f t="shared" si="12"/>
        <v>4.5</v>
      </c>
      <c r="P32" s="24">
        <f t="shared" si="13"/>
        <v>2.75</v>
      </c>
      <c r="Q32" s="24">
        <f t="shared" si="14"/>
        <v>3</v>
      </c>
      <c r="R32" s="24">
        <f t="shared" si="15"/>
        <v>3.5</v>
      </c>
    </row>
    <row r="33" spans="1:18" outlineLevel="1" x14ac:dyDescent="0.2">
      <c r="A33" s="25">
        <v>3.625</v>
      </c>
      <c r="B33" s="24">
        <v>3.625</v>
      </c>
      <c r="C33" s="24">
        <f t="shared" si="0"/>
        <v>3</v>
      </c>
      <c r="D33" s="24">
        <f t="shared" si="1"/>
        <v>4</v>
      </c>
      <c r="E33" s="24">
        <f t="shared" si="2"/>
        <v>4</v>
      </c>
      <c r="F33" s="24">
        <f t="shared" si="3"/>
        <v>4</v>
      </c>
      <c r="G33" s="24">
        <f t="shared" si="4"/>
        <v>3.5</v>
      </c>
      <c r="H33" s="24">
        <f t="shared" si="5"/>
        <v>4.5</v>
      </c>
      <c r="I33" s="24">
        <f t="shared" si="6"/>
        <v>3.5</v>
      </c>
      <c r="J33" s="24">
        <f t="shared" si="7"/>
        <v>3.5</v>
      </c>
      <c r="K33" s="24">
        <f t="shared" si="8"/>
        <v>3.5</v>
      </c>
      <c r="L33" s="24">
        <f t="shared" si="9"/>
        <v>2</v>
      </c>
      <c r="M33" s="24">
        <f t="shared" si="10"/>
        <v>2.5</v>
      </c>
      <c r="N33" s="24">
        <f t="shared" si="11"/>
        <v>3.5</v>
      </c>
      <c r="O33" s="24">
        <f t="shared" si="12"/>
        <v>4.5</v>
      </c>
      <c r="P33" s="24">
        <f t="shared" si="13"/>
        <v>2.75</v>
      </c>
      <c r="Q33" s="24">
        <f t="shared" si="14"/>
        <v>4</v>
      </c>
      <c r="R33" s="24">
        <f t="shared" si="15"/>
        <v>3.5</v>
      </c>
    </row>
    <row r="34" spans="1:18" outlineLevel="1" x14ac:dyDescent="0.2">
      <c r="A34" s="22">
        <v>3.75</v>
      </c>
      <c r="B34" s="24">
        <v>3.75</v>
      </c>
      <c r="C34" s="24">
        <f t="shared" si="0"/>
        <v>3</v>
      </c>
      <c r="D34" s="24">
        <f t="shared" si="1"/>
        <v>4</v>
      </c>
      <c r="E34" s="24">
        <f t="shared" si="2"/>
        <v>4</v>
      </c>
      <c r="F34" s="24">
        <f t="shared" si="3"/>
        <v>4</v>
      </c>
      <c r="G34" s="24">
        <f t="shared" si="4"/>
        <v>3.5</v>
      </c>
      <c r="H34" s="24">
        <f t="shared" si="5"/>
        <v>4.5</v>
      </c>
      <c r="I34" s="24">
        <f t="shared" si="6"/>
        <v>3.5</v>
      </c>
      <c r="J34" s="24">
        <f t="shared" si="7"/>
        <v>3.5</v>
      </c>
      <c r="K34" s="24">
        <f t="shared" si="8"/>
        <v>3.5</v>
      </c>
      <c r="L34" s="24">
        <f t="shared" si="9"/>
        <v>2</v>
      </c>
      <c r="M34" s="24">
        <f t="shared" si="10"/>
        <v>2.5</v>
      </c>
      <c r="N34" s="24">
        <f t="shared" si="11"/>
        <v>3.5</v>
      </c>
      <c r="O34" s="24">
        <f t="shared" si="12"/>
        <v>4.5</v>
      </c>
      <c r="P34" s="24">
        <f t="shared" si="13"/>
        <v>2.75</v>
      </c>
      <c r="Q34" s="24">
        <f t="shared" si="14"/>
        <v>4</v>
      </c>
      <c r="R34" s="24">
        <f t="shared" si="15"/>
        <v>3.5</v>
      </c>
    </row>
    <row r="35" spans="1:18" outlineLevel="1" x14ac:dyDescent="0.2">
      <c r="A35" s="25">
        <v>3.8749999999999996</v>
      </c>
      <c r="B35" s="24">
        <v>3.8749999999999996</v>
      </c>
      <c r="C35" s="24">
        <f t="shared" si="0"/>
        <v>3</v>
      </c>
      <c r="D35" s="24">
        <f t="shared" si="1"/>
        <v>4</v>
      </c>
      <c r="E35" s="24">
        <f t="shared" si="2"/>
        <v>4</v>
      </c>
      <c r="F35" s="24">
        <f t="shared" si="3"/>
        <v>4</v>
      </c>
      <c r="G35" s="24">
        <f t="shared" si="4"/>
        <v>3.5</v>
      </c>
      <c r="H35" s="24">
        <f t="shared" si="5"/>
        <v>4.5</v>
      </c>
      <c r="I35" s="24">
        <f t="shared" si="6"/>
        <v>3.5</v>
      </c>
      <c r="J35" s="24">
        <f t="shared" si="7"/>
        <v>3.5</v>
      </c>
      <c r="K35" s="24">
        <f t="shared" si="8"/>
        <v>3.5</v>
      </c>
      <c r="L35" s="24">
        <f t="shared" si="9"/>
        <v>2</v>
      </c>
      <c r="M35" s="24">
        <f t="shared" si="10"/>
        <v>2.5</v>
      </c>
      <c r="N35" s="24">
        <f t="shared" si="11"/>
        <v>3.5</v>
      </c>
      <c r="O35" s="24">
        <f t="shared" si="12"/>
        <v>4.5</v>
      </c>
      <c r="P35" s="24">
        <f t="shared" si="13"/>
        <v>2.75</v>
      </c>
      <c r="Q35" s="24">
        <f t="shared" si="14"/>
        <v>4</v>
      </c>
      <c r="R35" s="24">
        <f t="shared" si="15"/>
        <v>3.5</v>
      </c>
    </row>
    <row r="36" spans="1:18" outlineLevel="1" x14ac:dyDescent="0.2">
      <c r="A36" s="22">
        <v>4</v>
      </c>
      <c r="B36" s="24">
        <v>4</v>
      </c>
      <c r="C36" s="24">
        <f t="shared" si="0"/>
        <v>4</v>
      </c>
      <c r="D36" s="24">
        <f t="shared" si="1"/>
        <v>4</v>
      </c>
      <c r="E36" s="24">
        <f t="shared" si="2"/>
        <v>4</v>
      </c>
      <c r="F36" s="24">
        <f t="shared" si="3"/>
        <v>4</v>
      </c>
      <c r="G36" s="24">
        <f t="shared" si="4"/>
        <v>3.5</v>
      </c>
      <c r="H36" s="24">
        <f t="shared" si="5"/>
        <v>4.5</v>
      </c>
      <c r="I36" s="24">
        <f t="shared" si="6"/>
        <v>3.5</v>
      </c>
      <c r="J36" s="24">
        <f t="shared" si="7"/>
        <v>4.5</v>
      </c>
      <c r="K36" s="24">
        <f t="shared" si="8"/>
        <v>4</v>
      </c>
      <c r="L36" s="24">
        <f t="shared" si="9"/>
        <v>4</v>
      </c>
      <c r="M36" s="24">
        <f t="shared" si="10"/>
        <v>2.5</v>
      </c>
      <c r="N36" s="24">
        <f t="shared" si="11"/>
        <v>3.5</v>
      </c>
      <c r="O36" s="24">
        <f t="shared" si="12"/>
        <v>4.5</v>
      </c>
      <c r="P36" s="24">
        <f t="shared" si="13"/>
        <v>2.75</v>
      </c>
      <c r="Q36" s="24">
        <f t="shared" si="14"/>
        <v>4</v>
      </c>
      <c r="R36" s="24">
        <f t="shared" si="15"/>
        <v>3.5</v>
      </c>
    </row>
    <row r="37" spans="1:18" outlineLevel="1" x14ac:dyDescent="0.2"/>
    <row r="38" spans="1:18" outlineLevel="1" x14ac:dyDescent="0.2">
      <c r="A38" s="25" t="s">
        <v>67</v>
      </c>
      <c r="B38" s="24" t="s">
        <v>68</v>
      </c>
    </row>
  </sheetData>
  <printOptions gridLines="1" gridLinesSet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1916-E96F-4CC1-9F0C-B883835D8068}">
  <dimension ref="A1:Y40"/>
  <sheetViews>
    <sheetView workbookViewId="0"/>
  </sheetViews>
  <sheetFormatPr defaultRowHeight="15" x14ac:dyDescent="0.25"/>
  <cols>
    <col min="1" max="1" width="9.140625" style="21"/>
    <col min="3" max="3" width="1.42578125" customWidth="1"/>
    <col min="4" max="25" width="13.85546875" customWidth="1"/>
    <col min="26" max="32" width="13.28515625" customWidth="1"/>
  </cols>
  <sheetData>
    <row r="1" spans="1:25" s="3" customFormat="1" ht="45" x14ac:dyDescent="0.25">
      <c r="A1" s="20"/>
      <c r="D1" s="15" t="s">
        <v>4</v>
      </c>
      <c r="E1" s="11" t="s">
        <v>6</v>
      </c>
      <c r="F1" s="11" t="s">
        <v>7</v>
      </c>
      <c r="G1" s="16" t="s">
        <v>5</v>
      </c>
      <c r="H1" s="10" t="s">
        <v>10</v>
      </c>
      <c r="I1" s="11" t="s">
        <v>8</v>
      </c>
      <c r="J1" s="11" t="s">
        <v>11</v>
      </c>
      <c r="K1" s="12" t="s">
        <v>9</v>
      </c>
      <c r="L1" s="10" t="s">
        <v>12</v>
      </c>
      <c r="M1" s="11" t="s">
        <v>21</v>
      </c>
      <c r="N1" s="11" t="s">
        <v>14</v>
      </c>
      <c r="O1" s="11" t="s">
        <v>13</v>
      </c>
      <c r="P1" s="10" t="s">
        <v>15</v>
      </c>
      <c r="Q1" s="11" t="s">
        <v>20</v>
      </c>
      <c r="R1" s="11" t="s">
        <v>16</v>
      </c>
      <c r="S1" s="12" t="s">
        <v>17</v>
      </c>
      <c r="T1" s="10" t="s">
        <v>22</v>
      </c>
      <c r="U1" s="12" t="s">
        <v>22</v>
      </c>
      <c r="V1" s="10" t="s">
        <v>18</v>
      </c>
      <c r="W1" s="12" t="s">
        <v>19</v>
      </c>
      <c r="X1" s="4"/>
      <c r="Y1" s="4"/>
    </row>
    <row r="2" spans="1:25" x14ac:dyDescent="0.25">
      <c r="A2" s="21" t="s">
        <v>1</v>
      </c>
      <c r="D2" s="13">
        <v>0</v>
      </c>
      <c r="E2">
        <v>0</v>
      </c>
      <c r="F2">
        <v>0</v>
      </c>
      <c r="G2" s="14">
        <v>0</v>
      </c>
      <c r="H2" s="13">
        <v>0.5</v>
      </c>
      <c r="I2">
        <v>0.5</v>
      </c>
      <c r="J2">
        <v>0.5</v>
      </c>
      <c r="K2" s="14">
        <v>0.5</v>
      </c>
      <c r="L2" s="13">
        <v>0</v>
      </c>
      <c r="M2">
        <v>1</v>
      </c>
      <c r="N2">
        <v>-1</v>
      </c>
      <c r="O2">
        <v>0</v>
      </c>
      <c r="P2" s="13">
        <v>0</v>
      </c>
      <c r="Q2">
        <v>0</v>
      </c>
      <c r="R2">
        <v>0</v>
      </c>
      <c r="S2" s="14">
        <v>0</v>
      </c>
      <c r="T2" s="13">
        <v>0.5</v>
      </c>
      <c r="U2" s="14">
        <v>1</v>
      </c>
      <c r="V2" s="13">
        <v>0</v>
      </c>
      <c r="W2" s="14">
        <v>0</v>
      </c>
    </row>
    <row r="3" spans="1:25" x14ac:dyDescent="0.25">
      <c r="A3" s="21" t="s">
        <v>23</v>
      </c>
      <c r="D3" s="13">
        <v>0</v>
      </c>
      <c r="E3">
        <v>0.5</v>
      </c>
      <c r="F3">
        <v>-0.5</v>
      </c>
      <c r="G3" s="14">
        <v>0</v>
      </c>
      <c r="H3" s="13">
        <v>0</v>
      </c>
      <c r="I3">
        <v>0.5</v>
      </c>
      <c r="J3">
        <v>-0.5</v>
      </c>
      <c r="K3" s="14">
        <v>0</v>
      </c>
      <c r="L3" s="13">
        <v>0</v>
      </c>
      <c r="M3">
        <v>0</v>
      </c>
      <c r="N3">
        <v>0</v>
      </c>
      <c r="O3">
        <v>0</v>
      </c>
      <c r="P3" s="13">
        <v>0</v>
      </c>
      <c r="Q3">
        <v>0.5</v>
      </c>
      <c r="R3">
        <v>-0.5</v>
      </c>
      <c r="S3" s="14">
        <v>0</v>
      </c>
      <c r="T3" s="13">
        <v>0</v>
      </c>
      <c r="U3" s="14">
        <v>0</v>
      </c>
      <c r="V3" s="13">
        <v>0</v>
      </c>
      <c r="W3" s="14">
        <v>0</v>
      </c>
    </row>
    <row r="4" spans="1:25" x14ac:dyDescent="0.25">
      <c r="A4" s="21" t="s">
        <v>2</v>
      </c>
      <c r="D4" s="13">
        <v>0</v>
      </c>
      <c r="E4">
        <v>0</v>
      </c>
      <c r="F4">
        <v>0</v>
      </c>
      <c r="G4" s="14">
        <v>0</v>
      </c>
      <c r="H4" s="13">
        <v>0.5</v>
      </c>
      <c r="I4">
        <v>0.5</v>
      </c>
      <c r="J4">
        <v>0.5</v>
      </c>
      <c r="K4" s="14">
        <v>0.5</v>
      </c>
      <c r="L4" s="13">
        <v>0</v>
      </c>
      <c r="M4">
        <v>0</v>
      </c>
      <c r="N4">
        <v>0</v>
      </c>
      <c r="O4">
        <v>0</v>
      </c>
      <c r="P4" s="13">
        <v>0</v>
      </c>
      <c r="Q4">
        <v>0</v>
      </c>
      <c r="R4">
        <v>0</v>
      </c>
      <c r="S4" s="14">
        <v>0</v>
      </c>
      <c r="T4" s="13">
        <v>0.5</v>
      </c>
      <c r="U4" s="14">
        <v>1</v>
      </c>
      <c r="V4" s="13">
        <v>0</v>
      </c>
      <c r="W4" s="14">
        <v>0</v>
      </c>
    </row>
    <row r="5" spans="1:25" x14ac:dyDescent="0.25">
      <c r="A5" s="21" t="s">
        <v>3</v>
      </c>
      <c r="D5" s="13">
        <v>1</v>
      </c>
      <c r="E5">
        <v>1</v>
      </c>
      <c r="F5">
        <v>1</v>
      </c>
      <c r="G5" s="14">
        <v>1</v>
      </c>
      <c r="H5" s="13">
        <v>1</v>
      </c>
      <c r="I5">
        <v>1</v>
      </c>
      <c r="J5">
        <v>1</v>
      </c>
      <c r="K5" s="14">
        <v>1</v>
      </c>
      <c r="L5" s="13">
        <v>2</v>
      </c>
      <c r="M5">
        <v>2</v>
      </c>
      <c r="N5">
        <v>2</v>
      </c>
      <c r="O5">
        <v>2</v>
      </c>
      <c r="P5" s="13">
        <v>2</v>
      </c>
      <c r="Q5">
        <v>2</v>
      </c>
      <c r="R5">
        <v>2</v>
      </c>
      <c r="S5" s="14">
        <v>2</v>
      </c>
      <c r="T5" s="13">
        <v>2</v>
      </c>
      <c r="U5" s="14">
        <v>2</v>
      </c>
      <c r="V5" s="13">
        <v>0.5</v>
      </c>
      <c r="W5" s="14">
        <v>0.5</v>
      </c>
    </row>
    <row r="6" spans="1:25" s="2" customFormat="1" x14ac:dyDescent="0.25">
      <c r="A6" s="21" t="s">
        <v>24</v>
      </c>
      <c r="D6" s="18" t="s">
        <v>25</v>
      </c>
      <c r="E6" s="2" t="s">
        <v>26</v>
      </c>
      <c r="F6" s="2" t="s">
        <v>25</v>
      </c>
      <c r="G6" s="19" t="s">
        <v>26</v>
      </c>
      <c r="H6" s="18" t="s">
        <v>25</v>
      </c>
      <c r="I6" s="2" t="s">
        <v>26</v>
      </c>
      <c r="J6" s="2" t="s">
        <v>25</v>
      </c>
      <c r="K6" s="19" t="s">
        <v>26</v>
      </c>
      <c r="L6" s="18" t="s">
        <v>25</v>
      </c>
      <c r="M6" s="2" t="s">
        <v>26</v>
      </c>
      <c r="N6" s="2" t="s">
        <v>25</v>
      </c>
      <c r="O6" s="19" t="s">
        <v>26</v>
      </c>
      <c r="P6" s="18" t="s">
        <v>25</v>
      </c>
      <c r="Q6" s="2" t="s">
        <v>26</v>
      </c>
      <c r="R6" s="2" t="s">
        <v>25</v>
      </c>
      <c r="S6" s="19" t="s">
        <v>26</v>
      </c>
      <c r="T6" s="18" t="s">
        <v>25</v>
      </c>
      <c r="U6" s="2" t="s">
        <v>26</v>
      </c>
      <c r="V6" s="18" t="s">
        <v>25</v>
      </c>
      <c r="W6" s="19" t="s">
        <v>26</v>
      </c>
    </row>
    <row r="7" spans="1:25" ht="8.25" customHeight="1" x14ac:dyDescent="0.25">
      <c r="D7" s="13"/>
      <c r="G7" s="14"/>
      <c r="H7" s="13"/>
      <c r="K7" s="14"/>
      <c r="L7" s="13"/>
      <c r="P7" s="13"/>
      <c r="S7" s="14"/>
      <c r="T7" s="13"/>
      <c r="U7" s="14"/>
      <c r="V7" s="13"/>
      <c r="W7" s="14"/>
    </row>
    <row r="8" spans="1:25" x14ac:dyDescent="0.25">
      <c r="A8" s="21" t="s">
        <v>0</v>
      </c>
      <c r="B8">
        <v>-4</v>
      </c>
      <c r="D8" s="5" cm="1">
        <f t="array" ref="D8">RoundScaleBias($B8,D$2,D$3,D$4,D$5,D$6)</f>
        <v>-4</v>
      </c>
      <c r="E8" s="1" cm="1">
        <f t="array" ref="E8">RoundScaleBias($B8,E$2,E$3,E$4,E$5,E$6)</f>
        <v>-4</v>
      </c>
      <c r="F8" s="1" cm="1">
        <f t="array" ref="F8">RoundScaleBias($B8,F$2,F$3,F$4,F$5,F$6)</f>
        <v>-4</v>
      </c>
      <c r="G8" s="6" cm="1">
        <f t="array" ref="G8">RoundScaleBias($B8,G$2,G$3,G$4,G$5,G$6)</f>
        <v>-4</v>
      </c>
      <c r="H8" s="5" cm="1">
        <f t="array" ref="H8">RoundScaleBias($B8,H$2,H$3,H$4,H$5,H$6)</f>
        <v>-4.5</v>
      </c>
      <c r="I8" s="1" cm="1">
        <f t="array" ref="I8">RoundScaleBias($B8,I$2,I$3,I$4,I$5,I$6)</f>
        <v>-4.5</v>
      </c>
      <c r="J8" s="1" cm="1">
        <f t="array" ref="J8">RoundScaleBias($B8,J$2,J$3,J$4,J$5,J$6)</f>
        <v>-3.5</v>
      </c>
      <c r="K8" s="6" cm="1">
        <f t="array" ref="K8">RoundScaleBias($B8,K$2,K$3,K$4,K$5,K$6)</f>
        <v>-3.5</v>
      </c>
      <c r="L8" s="5" cm="1">
        <f t="array" ref="L8">RoundScaleBias($B8,L$2,L$3,L$4,L$5,L$6)</f>
        <v>-4</v>
      </c>
      <c r="M8" s="1" cm="1">
        <f t="array" ref="M8">RoundScaleBias($B8,M$2,M$3,M$4,M$5,M$6)</f>
        <v>-4</v>
      </c>
      <c r="N8" s="1" cm="1">
        <f t="array" ref="N8">RoundScaleBias($B8,N$2,N$3,N$4,N$5,N$6)</f>
        <v>-4</v>
      </c>
      <c r="O8" s="1" cm="1">
        <f t="array" ref="O8">RoundScaleBias($B8,O$2,O$3,O$4,O$5,O$6)</f>
        <v>-4</v>
      </c>
      <c r="P8" s="5" cm="1">
        <f t="array" ref="P8">RoundScaleBias($B8,P$2,P$3,P$4,P$5,P$6)</f>
        <v>-4</v>
      </c>
      <c r="Q8" s="1" cm="1">
        <f t="array" ref="Q8">RoundScaleBias($B8,Q$2,Q$3,Q$4,Q$5,Q$6)</f>
        <v>-4</v>
      </c>
      <c r="R8" s="1" cm="1">
        <f t="array" ref="R8">RoundScaleBias($B8,R$2,R$3,R$4,R$5,R$6)</f>
        <v>-4</v>
      </c>
      <c r="S8" s="6" cm="1">
        <f t="array" ref="S8">RoundScaleBias($B8,S$2,S$3,S$4,S$5,S$6)</f>
        <v>-4</v>
      </c>
      <c r="T8" s="5" cm="1">
        <f t="array" ref="T8">RoundScaleBias($B8,T$2,T$3,T$4,T$5,T$6)</f>
        <v>-5.5</v>
      </c>
      <c r="U8" s="6" cm="1">
        <f t="array" ref="U8">RoundScaleBias($B8,U$2,U$3,U$4,U$5,U$6)</f>
        <v>-3</v>
      </c>
      <c r="V8" s="5" cm="1">
        <f t="array" ref="V8">RoundScaleBias($B8,V$2,V$3,V$4,V$5,V$6)</f>
        <v>-4</v>
      </c>
      <c r="W8" s="6" cm="1">
        <f t="array" ref="W8">RoundScaleBias($B8,W$2,W$3,W$4,W$5,W$6)</f>
        <v>-4</v>
      </c>
      <c r="X8" s="1"/>
      <c r="Y8" s="1"/>
    </row>
    <row r="9" spans="1:25" x14ac:dyDescent="0.25">
      <c r="B9">
        <v>-3.75</v>
      </c>
      <c r="D9" s="5" cm="1">
        <f t="array" ref="D9">RoundScaleBias($B9,D$2,D$3,D$4,D$5,D$6)</f>
        <v>-4</v>
      </c>
      <c r="E9" s="1" cm="1">
        <f t="array" ref="E9">RoundScaleBias($B9,E$2,E$3,E$4,E$5,E$6)</f>
        <v>-4</v>
      </c>
      <c r="F9" s="1" cm="1">
        <f t="array" ref="F9">RoundScaleBias($B9,F$2,F$3,F$4,F$5,F$6)</f>
        <v>-4</v>
      </c>
      <c r="G9" s="6" cm="1">
        <f t="array" ref="G9">RoundScaleBias($B9,G$2,G$3,G$4,G$5,G$6)</f>
        <v>-3</v>
      </c>
      <c r="H9" s="5" cm="1">
        <f t="array" ref="H9">RoundScaleBias($B9,H$2,H$3,H$4,H$5,H$6)</f>
        <v>-4.5</v>
      </c>
      <c r="I9" s="1" cm="1">
        <f t="array" ref="I9">RoundScaleBias($B9,I$2,I$3,I$4,I$5,I$6)</f>
        <v>-3.5</v>
      </c>
      <c r="J9" s="1" cm="1">
        <f t="array" ref="J9">RoundScaleBias($B9,J$2,J$3,J$4,J$5,J$6)</f>
        <v>-3.5</v>
      </c>
      <c r="K9" s="6" cm="1">
        <f t="array" ref="K9">RoundScaleBias($B9,K$2,K$3,K$4,K$5,K$6)</f>
        <v>-3.5</v>
      </c>
      <c r="L9" s="5" cm="1">
        <f t="array" ref="L9">RoundScaleBias($B9,L$2,L$3,L$4,L$5,L$6)</f>
        <v>-4</v>
      </c>
      <c r="M9" s="1" cm="1">
        <f t="array" ref="M9">RoundScaleBias($B9,M$2,M$3,M$4,M$5,M$6)</f>
        <v>-4</v>
      </c>
      <c r="N9" s="1" cm="1">
        <f t="array" ref="N9">RoundScaleBias($B9,N$2,N$3,N$4,N$5,N$6)</f>
        <v>-4</v>
      </c>
      <c r="O9" s="1" cm="1">
        <f t="array" ref="O9">RoundScaleBias($B9,O$2,O$3,O$4,O$5,O$6)</f>
        <v>-2</v>
      </c>
      <c r="P9" s="5" cm="1">
        <f t="array" ref="P9">RoundScaleBias($B9,P$2,P$3,P$4,P$5,P$6)</f>
        <v>-4</v>
      </c>
      <c r="Q9" s="1" cm="1">
        <f t="array" ref="Q9">RoundScaleBias($B9,Q$2,Q$3,Q$4,Q$5,Q$6)</f>
        <v>-4</v>
      </c>
      <c r="R9" s="1" cm="1">
        <f t="array" ref="R9">RoundScaleBias($B9,R$2,R$3,R$4,R$5,R$6)</f>
        <v>-4</v>
      </c>
      <c r="S9" s="6" cm="1">
        <f t="array" ref="S9">RoundScaleBias($B9,S$2,S$3,S$4,S$5,S$6)</f>
        <v>-2</v>
      </c>
      <c r="T9" s="5" cm="1">
        <f t="array" ref="T9">RoundScaleBias($B9,T$2,T$3,T$4,T$5,T$6)</f>
        <v>-5.5</v>
      </c>
      <c r="U9" s="6" cm="1">
        <f t="array" ref="U9">RoundScaleBias($B9,U$2,U$3,U$4,U$5,U$6)</f>
        <v>-3</v>
      </c>
      <c r="V9" s="5" cm="1">
        <f t="array" ref="V9">RoundScaleBias($B9,V$2,V$3,V$4,V$5,V$6)</f>
        <v>-4</v>
      </c>
      <c r="W9" s="6" cm="1">
        <f t="array" ref="W9">RoundScaleBias($B9,W$2,W$3,W$4,W$5,W$6)</f>
        <v>-3.5</v>
      </c>
      <c r="X9" s="1"/>
      <c r="Y9" s="1"/>
    </row>
    <row r="10" spans="1:25" x14ac:dyDescent="0.25">
      <c r="B10">
        <v>-3.5</v>
      </c>
      <c r="D10" s="5" cm="1">
        <f t="array" ref="D10">RoundScaleBias($B10,D$2,D$3,D$4,D$5,D$6)</f>
        <v>-4</v>
      </c>
      <c r="E10" s="1" cm="1">
        <f t="array" ref="E10">RoundScaleBias($B10,E$2,E$3,E$4,E$5,E$6)</f>
        <v>-4</v>
      </c>
      <c r="F10" s="1" cm="1">
        <f t="array" ref="F10">RoundScaleBias($B10,F$2,F$3,F$4,F$5,F$6)</f>
        <v>-3</v>
      </c>
      <c r="G10" s="6" cm="1">
        <f t="array" ref="G10">RoundScaleBias($B10,G$2,G$3,G$4,G$5,G$6)</f>
        <v>-3</v>
      </c>
      <c r="H10" s="5" cm="1">
        <f t="array" ref="H10">RoundScaleBias($B10,H$2,H$3,H$4,H$5,H$6)</f>
        <v>-3.5</v>
      </c>
      <c r="I10" s="1" cm="1">
        <f t="array" ref="I10">RoundScaleBias($B10,I$2,I$3,I$4,I$5,I$6)</f>
        <v>-3.5</v>
      </c>
      <c r="J10" s="1" cm="1">
        <f t="array" ref="J10">RoundScaleBias($B10,J$2,J$3,J$4,J$5,J$6)</f>
        <v>-3.5</v>
      </c>
      <c r="K10" s="6" cm="1">
        <f t="array" ref="K10">RoundScaleBias($B10,K$2,K$3,K$4,K$5,K$6)</f>
        <v>-3.5</v>
      </c>
      <c r="L10" s="5" cm="1">
        <f t="array" ref="L10">RoundScaleBias($B10,L$2,L$3,L$4,L$5,L$6)</f>
        <v>-4</v>
      </c>
      <c r="M10" s="1" cm="1">
        <f t="array" ref="M10">RoundScaleBias($B10,M$2,M$3,M$4,M$5,M$6)</f>
        <v>-4</v>
      </c>
      <c r="N10" s="1" cm="1">
        <f t="array" ref="N10">RoundScaleBias($B10,N$2,N$3,N$4,N$5,N$6)</f>
        <v>-4</v>
      </c>
      <c r="O10" s="1" cm="1">
        <f t="array" ref="O10">RoundScaleBias($B10,O$2,O$3,O$4,O$5,O$6)</f>
        <v>-2</v>
      </c>
      <c r="P10" s="5" cm="1">
        <f t="array" ref="P10">RoundScaleBias($B10,P$2,P$3,P$4,P$5,P$6)</f>
        <v>-4</v>
      </c>
      <c r="Q10" s="1" cm="1">
        <f t="array" ref="Q10">RoundScaleBias($B10,Q$2,Q$3,Q$4,Q$5,Q$6)</f>
        <v>-4</v>
      </c>
      <c r="R10" s="1" cm="1">
        <f t="array" ref="R10">RoundScaleBias($B10,R$2,R$3,R$4,R$5,R$6)</f>
        <v>-4</v>
      </c>
      <c r="S10" s="6" cm="1">
        <f t="array" ref="S10">RoundScaleBias($B10,S$2,S$3,S$4,S$5,S$6)</f>
        <v>-2</v>
      </c>
      <c r="T10" s="5" cm="1">
        <f t="array" ref="T10">RoundScaleBias($B10,T$2,T$3,T$4,T$5,T$6)</f>
        <v>-3.5</v>
      </c>
      <c r="U10" s="6" cm="1">
        <f t="array" ref="U10">RoundScaleBias($B10,U$2,U$3,U$4,U$5,U$6)</f>
        <v>-3</v>
      </c>
      <c r="V10" s="5" cm="1">
        <f t="array" ref="V10">RoundScaleBias($B10,V$2,V$3,V$4,V$5,V$6)</f>
        <v>-3.5</v>
      </c>
      <c r="W10" s="6" cm="1">
        <f t="array" ref="W10">RoundScaleBias($B10,W$2,W$3,W$4,W$5,W$6)</f>
        <v>-3.5</v>
      </c>
      <c r="X10" s="1"/>
      <c r="Y10" s="1"/>
    </row>
    <row r="11" spans="1:25" x14ac:dyDescent="0.25">
      <c r="B11">
        <v>-3.25</v>
      </c>
      <c r="D11" s="5" cm="1">
        <f t="array" ref="D11">RoundScaleBias($B11,D$2,D$3,D$4,D$5,D$6)</f>
        <v>-4</v>
      </c>
      <c r="E11" s="1" cm="1">
        <f t="array" ref="E11">RoundScaleBias($B11,E$2,E$3,E$4,E$5,E$6)</f>
        <v>-3</v>
      </c>
      <c r="F11" s="1" cm="1">
        <f t="array" ref="F11">RoundScaleBias($B11,F$2,F$3,F$4,F$5,F$6)</f>
        <v>-3</v>
      </c>
      <c r="G11" s="6" cm="1">
        <f t="array" ref="G11">RoundScaleBias($B11,G$2,G$3,G$4,G$5,G$6)</f>
        <v>-3</v>
      </c>
      <c r="H11" s="5" cm="1">
        <f t="array" ref="H11">RoundScaleBias($B11,H$2,H$3,H$4,H$5,H$6)</f>
        <v>-3.5</v>
      </c>
      <c r="I11" s="1" cm="1">
        <f t="array" ref="I11">RoundScaleBias($B11,I$2,I$3,I$4,I$5,I$6)</f>
        <v>-3.5</v>
      </c>
      <c r="J11" s="1" cm="1">
        <f t="array" ref="J11">RoundScaleBias($B11,J$2,J$3,J$4,J$5,J$6)</f>
        <v>-3.5</v>
      </c>
      <c r="K11" s="6" cm="1">
        <f t="array" ref="K11">RoundScaleBias($B11,K$2,K$3,K$4,K$5,K$6)</f>
        <v>-2.5</v>
      </c>
      <c r="L11" s="5" cm="1">
        <f t="array" ref="L11">RoundScaleBias($B11,L$2,L$3,L$4,L$5,L$6)</f>
        <v>-4</v>
      </c>
      <c r="M11" s="1" cm="1">
        <f t="array" ref="M11">RoundScaleBias($B11,M$2,M$3,M$4,M$5,M$6)</f>
        <v>-4</v>
      </c>
      <c r="N11" s="1" cm="1">
        <f t="array" ref="N11">RoundScaleBias($B11,N$2,N$3,N$4,N$5,N$6)</f>
        <v>-4</v>
      </c>
      <c r="O11" s="1" cm="1">
        <f t="array" ref="O11">RoundScaleBias($B11,O$2,O$3,O$4,O$5,O$6)</f>
        <v>-2</v>
      </c>
      <c r="P11" s="5" cm="1">
        <f t="array" ref="P11">RoundScaleBias($B11,P$2,P$3,P$4,P$5,P$6)</f>
        <v>-4</v>
      </c>
      <c r="Q11" s="1" cm="1">
        <f t="array" ref="Q11">RoundScaleBias($B11,Q$2,Q$3,Q$4,Q$5,Q$6)</f>
        <v>-4</v>
      </c>
      <c r="R11" s="1" cm="1">
        <f t="array" ref="R11">RoundScaleBias($B11,R$2,R$3,R$4,R$5,R$6)</f>
        <v>-4</v>
      </c>
      <c r="S11" s="6" cm="1">
        <f t="array" ref="S11">RoundScaleBias($B11,S$2,S$3,S$4,S$5,S$6)</f>
        <v>-2</v>
      </c>
      <c r="T11" s="5" cm="1">
        <f t="array" ref="T11">RoundScaleBias($B11,T$2,T$3,T$4,T$5,T$6)</f>
        <v>-3.5</v>
      </c>
      <c r="U11" s="6" cm="1">
        <f t="array" ref="U11">RoundScaleBias($B11,U$2,U$3,U$4,U$5,U$6)</f>
        <v>-3</v>
      </c>
      <c r="V11" s="5" cm="1">
        <f t="array" ref="V11">RoundScaleBias($B11,V$2,V$3,V$4,V$5,V$6)</f>
        <v>-3.5</v>
      </c>
      <c r="W11" s="6" cm="1">
        <f t="array" ref="W11">RoundScaleBias($B11,W$2,W$3,W$4,W$5,W$6)</f>
        <v>-3</v>
      </c>
      <c r="X11" s="1"/>
      <c r="Y11" s="1"/>
    </row>
    <row r="12" spans="1:25" x14ac:dyDescent="0.25">
      <c r="B12">
        <v>-3</v>
      </c>
      <c r="D12" s="5" cm="1">
        <f t="array" ref="D12">RoundScaleBias($B12,D$2,D$3,D$4,D$5,D$6)</f>
        <v>-3</v>
      </c>
      <c r="E12" s="1" cm="1">
        <f t="array" ref="E12">RoundScaleBias($B12,E$2,E$3,E$4,E$5,E$6)</f>
        <v>-3</v>
      </c>
      <c r="F12" s="1" cm="1">
        <f t="array" ref="F12">RoundScaleBias($B12,F$2,F$3,F$4,F$5,F$6)</f>
        <v>-3</v>
      </c>
      <c r="G12" s="6" cm="1">
        <f t="array" ref="G12">RoundScaleBias($B12,G$2,G$3,G$4,G$5,G$6)</f>
        <v>-3</v>
      </c>
      <c r="H12" s="5" cm="1">
        <f t="array" ref="H12">RoundScaleBias($B12,H$2,H$3,H$4,H$5,H$6)</f>
        <v>-3.5</v>
      </c>
      <c r="I12" s="1" cm="1">
        <f t="array" ref="I12">RoundScaleBias($B12,I$2,I$3,I$4,I$5,I$6)</f>
        <v>-3.5</v>
      </c>
      <c r="J12" s="1" cm="1">
        <f t="array" ref="J12">RoundScaleBias($B12,J$2,J$3,J$4,J$5,J$6)</f>
        <v>-2.5</v>
      </c>
      <c r="K12" s="6" cm="1">
        <f t="array" ref="K12">RoundScaleBias($B12,K$2,K$3,K$4,K$5,K$6)</f>
        <v>-2.5</v>
      </c>
      <c r="L12" s="5" cm="1">
        <f t="array" ref="L12">RoundScaleBias($B12,L$2,L$3,L$4,L$5,L$6)</f>
        <v>-4</v>
      </c>
      <c r="M12" s="1" cm="1">
        <f t="array" ref="M12">RoundScaleBias($B12,M$2,M$3,M$4,M$5,M$6)</f>
        <v>-4</v>
      </c>
      <c r="N12" s="1" cm="1">
        <f t="array" ref="N12">RoundScaleBias($B12,N$2,N$3,N$4,N$5,N$6)</f>
        <v>-2</v>
      </c>
      <c r="O12" s="1" cm="1">
        <f t="array" ref="O12">RoundScaleBias($B12,O$2,O$3,O$4,O$5,O$6)</f>
        <v>-2</v>
      </c>
      <c r="P12" s="5" cm="1">
        <f t="array" ref="P12">RoundScaleBias($B12,P$2,P$3,P$4,P$5,P$6)</f>
        <v>-4</v>
      </c>
      <c r="Q12" s="1" cm="1">
        <f t="array" ref="Q12">RoundScaleBias($B12,Q$2,Q$3,Q$4,Q$5,Q$6)</f>
        <v>-4</v>
      </c>
      <c r="R12" s="1" cm="1">
        <f t="array" ref="R12">RoundScaleBias($B12,R$2,R$3,R$4,R$5,R$6)</f>
        <v>-2</v>
      </c>
      <c r="S12" s="6" cm="1">
        <f t="array" ref="S12">RoundScaleBias($B12,S$2,S$3,S$4,S$5,S$6)</f>
        <v>-2</v>
      </c>
      <c r="T12" s="5" cm="1">
        <f t="array" ref="T12">RoundScaleBias($B12,T$2,T$3,T$4,T$5,T$6)</f>
        <v>-3.5</v>
      </c>
      <c r="U12" s="6" cm="1">
        <f t="array" ref="U12">RoundScaleBias($B12,U$2,U$3,U$4,U$5,U$6)</f>
        <v>-3</v>
      </c>
      <c r="V12" s="5" cm="1">
        <f t="array" ref="V12">RoundScaleBias($B12,V$2,V$3,V$4,V$5,V$6)</f>
        <v>-3</v>
      </c>
      <c r="W12" s="6" cm="1">
        <f t="array" ref="W12">RoundScaleBias($B12,W$2,W$3,W$4,W$5,W$6)</f>
        <v>-3</v>
      </c>
      <c r="X12" s="1"/>
      <c r="Y12" s="1"/>
    </row>
    <row r="13" spans="1:25" x14ac:dyDescent="0.25">
      <c r="B13">
        <v>-2.75</v>
      </c>
      <c r="D13" s="5" cm="1">
        <f t="array" ref="D13">RoundScaleBias($B13,D$2,D$3,D$4,D$5,D$6)</f>
        <v>-3</v>
      </c>
      <c r="E13" s="17" cm="1">
        <f t="array" ref="E13">RoundScaleBias($B13,E$2,E$3,E$4,E$5,E$6)</f>
        <v>-3</v>
      </c>
      <c r="F13" s="1" cm="1">
        <f t="array" ref="F13">RoundScaleBias($B13,F$2,F$3,F$4,F$5,F$6)</f>
        <v>-3</v>
      </c>
      <c r="G13" s="6" cm="1">
        <f t="array" ref="G13">RoundScaleBias($B13,G$2,G$3,G$4,G$5,G$6)</f>
        <v>-2</v>
      </c>
      <c r="H13" s="5" cm="1">
        <f t="array" ref="H13">RoundScaleBias($B13,H$2,H$3,H$4,H$5,H$6)</f>
        <v>-3.5</v>
      </c>
      <c r="I13" s="1" cm="1">
        <f t="array" ref="I13">RoundScaleBias($B13,I$2,I$3,I$4,I$5,I$6)</f>
        <v>-2.5</v>
      </c>
      <c r="J13" s="1" cm="1">
        <f t="array" ref="J13">RoundScaleBias($B13,J$2,J$3,J$4,J$5,J$6)</f>
        <v>-2.5</v>
      </c>
      <c r="K13" s="6" cm="1">
        <f t="array" ref="K13">RoundScaleBias($B13,K$2,K$3,K$4,K$5,K$6)</f>
        <v>-2.5</v>
      </c>
      <c r="L13" s="5" cm="1">
        <f t="array" ref="L13">RoundScaleBias($B13,L$2,L$3,L$4,L$5,L$6)</f>
        <v>-4</v>
      </c>
      <c r="M13" s="1" cm="1">
        <f t="array" ref="M13">RoundScaleBias($B13,M$2,M$3,M$4,M$5,M$6)</f>
        <v>-2</v>
      </c>
      <c r="N13" s="1" cm="1">
        <f t="array" ref="N13">RoundScaleBias($B13,N$2,N$3,N$4,N$5,N$6)</f>
        <v>-2</v>
      </c>
      <c r="O13" s="1" cm="1">
        <f t="array" ref="O13">RoundScaleBias($B13,O$2,O$3,O$4,O$5,O$6)</f>
        <v>-2</v>
      </c>
      <c r="P13" s="5" cm="1">
        <f t="array" ref="P13">RoundScaleBias($B13,P$2,P$3,P$4,P$5,P$6)</f>
        <v>-4</v>
      </c>
      <c r="Q13" s="1" cm="1">
        <f t="array" ref="Q13">RoundScaleBias($B13,Q$2,Q$3,Q$4,Q$5,Q$6)</f>
        <v>-2</v>
      </c>
      <c r="R13" s="1" cm="1">
        <f t="array" ref="R13">RoundScaleBias($B13,R$2,R$3,R$4,R$5,R$6)</f>
        <v>-2</v>
      </c>
      <c r="S13" s="6" cm="1">
        <f t="array" ref="S13">RoundScaleBias($B13,S$2,S$3,S$4,S$5,S$6)</f>
        <v>-2</v>
      </c>
      <c r="T13" s="5" cm="1">
        <f t="array" ref="T13">RoundScaleBias($B13,T$2,T$3,T$4,T$5,T$6)</f>
        <v>-3.5</v>
      </c>
      <c r="U13" s="6" cm="1">
        <f t="array" ref="U13">RoundScaleBias($B13,U$2,U$3,U$4,U$5,U$6)</f>
        <v>-1</v>
      </c>
      <c r="V13" s="5" cm="1">
        <f t="array" ref="V13">RoundScaleBias($B13,V$2,V$3,V$4,V$5,V$6)</f>
        <v>-3</v>
      </c>
      <c r="W13" s="6" cm="1">
        <f t="array" ref="W13">RoundScaleBias($B13,W$2,W$3,W$4,W$5,W$6)</f>
        <v>-2.5</v>
      </c>
      <c r="X13" s="1"/>
      <c r="Y13" s="1"/>
    </row>
    <row r="14" spans="1:25" x14ac:dyDescent="0.25">
      <c r="B14">
        <v>-2.5</v>
      </c>
      <c r="D14" s="5" cm="1">
        <f t="array" ref="D14">RoundScaleBias($B14,D$2,D$3,D$4,D$5,D$6)</f>
        <v>-3</v>
      </c>
      <c r="E14" s="1" cm="1">
        <f t="array" ref="E14">RoundScaleBias($B14,E$2,E$3,E$4,E$5,E$6)</f>
        <v>-3</v>
      </c>
      <c r="F14" s="1" cm="1">
        <f t="array" ref="F14">RoundScaleBias($B14,F$2,F$3,F$4,F$5,F$6)</f>
        <v>-2</v>
      </c>
      <c r="G14" s="6" cm="1">
        <f t="array" ref="G14">RoundScaleBias($B14,G$2,G$3,G$4,G$5,G$6)</f>
        <v>-2</v>
      </c>
      <c r="H14" s="5" cm="1">
        <f t="array" ref="H14">RoundScaleBias($B14,H$2,H$3,H$4,H$5,H$6)</f>
        <v>-2.5</v>
      </c>
      <c r="I14" s="1" cm="1">
        <f t="array" ref="I14">RoundScaleBias($B14,I$2,I$3,I$4,I$5,I$6)</f>
        <v>-2.5</v>
      </c>
      <c r="J14" s="1" cm="1">
        <f t="array" ref="J14">RoundScaleBias($B14,J$2,J$3,J$4,J$5,J$6)</f>
        <v>-2.5</v>
      </c>
      <c r="K14" s="6" cm="1">
        <f t="array" ref="K14">RoundScaleBias($B14,K$2,K$3,K$4,K$5,K$6)</f>
        <v>-2.5</v>
      </c>
      <c r="L14" s="5" cm="1">
        <f t="array" ref="L14">RoundScaleBias($B14,L$2,L$3,L$4,L$5,L$6)</f>
        <v>-4</v>
      </c>
      <c r="M14" s="1" cm="1">
        <f t="array" ref="M14">RoundScaleBias($B14,M$2,M$3,M$4,M$5,M$6)</f>
        <v>-2</v>
      </c>
      <c r="N14" s="1" cm="1">
        <f t="array" ref="N14">RoundScaleBias($B14,N$2,N$3,N$4,N$5,N$6)</f>
        <v>-2</v>
      </c>
      <c r="O14" s="1" cm="1">
        <f t="array" ref="O14">RoundScaleBias($B14,O$2,O$3,O$4,O$5,O$6)</f>
        <v>-2</v>
      </c>
      <c r="P14" s="5" cm="1">
        <f t="array" ref="P14">RoundScaleBias($B14,P$2,P$3,P$4,P$5,P$6)</f>
        <v>-4</v>
      </c>
      <c r="Q14" s="1" cm="1">
        <f t="array" ref="Q14">RoundScaleBias($B14,Q$2,Q$3,Q$4,Q$5,Q$6)</f>
        <v>-2</v>
      </c>
      <c r="R14" s="1" cm="1">
        <f t="array" ref="R14">RoundScaleBias($B14,R$2,R$3,R$4,R$5,R$6)</f>
        <v>-2</v>
      </c>
      <c r="S14" s="6" cm="1">
        <f t="array" ref="S14">RoundScaleBias($B14,S$2,S$3,S$4,S$5,S$6)</f>
        <v>-2</v>
      </c>
      <c r="T14" s="5" cm="1">
        <f t="array" ref="T14">RoundScaleBias($B14,T$2,T$3,T$4,T$5,T$6)</f>
        <v>-3.5</v>
      </c>
      <c r="U14" s="6" cm="1">
        <f t="array" ref="U14">RoundScaleBias($B14,U$2,U$3,U$4,U$5,U$6)</f>
        <v>-1</v>
      </c>
      <c r="V14" s="5" cm="1">
        <f t="array" ref="V14">RoundScaleBias($B14,V$2,V$3,V$4,V$5,V$6)</f>
        <v>-2.5</v>
      </c>
      <c r="W14" s="6" cm="1">
        <f t="array" ref="W14">RoundScaleBias($B14,W$2,W$3,W$4,W$5,W$6)</f>
        <v>-2.5</v>
      </c>
      <c r="X14" s="1"/>
      <c r="Y14" s="1"/>
    </row>
    <row r="15" spans="1:25" x14ac:dyDescent="0.25">
      <c r="B15">
        <v>-2.25</v>
      </c>
      <c r="D15" s="5" cm="1">
        <f t="array" ref="D15">RoundScaleBias($B15,D$2,D$3,D$4,D$5,D$6)</f>
        <v>-3</v>
      </c>
      <c r="E15" s="1" cm="1">
        <f t="array" ref="E15">RoundScaleBias($B15,E$2,E$3,E$4,E$5,E$6)</f>
        <v>-2</v>
      </c>
      <c r="F15" s="1" cm="1">
        <f t="array" ref="F15">RoundScaleBias($B15,F$2,F$3,F$4,F$5,F$6)</f>
        <v>-2</v>
      </c>
      <c r="G15" s="6" cm="1">
        <f t="array" ref="G15">RoundScaleBias($B15,G$2,G$3,G$4,G$5,G$6)</f>
        <v>-2</v>
      </c>
      <c r="H15" s="5" cm="1">
        <f t="array" ref="H15">RoundScaleBias($B15,H$2,H$3,H$4,H$5,H$6)</f>
        <v>-2.5</v>
      </c>
      <c r="I15" s="1" cm="1">
        <f t="array" ref="I15">RoundScaleBias($B15,I$2,I$3,I$4,I$5,I$6)</f>
        <v>-2.5</v>
      </c>
      <c r="J15" s="1" cm="1">
        <f t="array" ref="J15">RoundScaleBias($B15,J$2,J$3,J$4,J$5,J$6)</f>
        <v>-2.5</v>
      </c>
      <c r="K15" s="6" cm="1">
        <f t="array" ref="K15">RoundScaleBias($B15,K$2,K$3,K$4,K$5,K$6)</f>
        <v>-1.5</v>
      </c>
      <c r="L15" s="5" cm="1">
        <f t="array" ref="L15">RoundScaleBias($B15,L$2,L$3,L$4,L$5,L$6)</f>
        <v>-4</v>
      </c>
      <c r="M15" s="1" cm="1">
        <f t="array" ref="M15">RoundScaleBias($B15,M$2,M$3,M$4,M$5,M$6)</f>
        <v>-2</v>
      </c>
      <c r="N15" s="1" cm="1">
        <f t="array" ref="N15">RoundScaleBias($B15,N$2,N$3,N$4,N$5,N$6)</f>
        <v>-2</v>
      </c>
      <c r="O15" s="1" cm="1">
        <f t="array" ref="O15">RoundScaleBias($B15,O$2,O$3,O$4,O$5,O$6)</f>
        <v>-2</v>
      </c>
      <c r="P15" s="5" cm="1">
        <f t="array" ref="P15">RoundScaleBias($B15,P$2,P$3,P$4,P$5,P$6)</f>
        <v>-4</v>
      </c>
      <c r="Q15" s="1" cm="1">
        <f t="array" ref="Q15">RoundScaleBias($B15,Q$2,Q$3,Q$4,Q$5,Q$6)</f>
        <v>-2</v>
      </c>
      <c r="R15" s="1" cm="1">
        <f t="array" ref="R15">RoundScaleBias($B15,R$2,R$3,R$4,R$5,R$6)</f>
        <v>-2</v>
      </c>
      <c r="S15" s="6" cm="1">
        <f t="array" ref="S15">RoundScaleBias($B15,S$2,S$3,S$4,S$5,S$6)</f>
        <v>-2</v>
      </c>
      <c r="T15" s="5" cm="1">
        <f t="array" ref="T15">RoundScaleBias($B15,T$2,T$3,T$4,T$5,T$6)</f>
        <v>-3.5</v>
      </c>
      <c r="U15" s="6" cm="1">
        <f t="array" ref="U15">RoundScaleBias($B15,U$2,U$3,U$4,U$5,U$6)</f>
        <v>-1</v>
      </c>
      <c r="V15" s="5" cm="1">
        <f t="array" ref="V15">RoundScaleBias($B15,V$2,V$3,V$4,V$5,V$6)</f>
        <v>-2.5</v>
      </c>
      <c r="W15" s="6" cm="1">
        <f t="array" ref="W15">RoundScaleBias($B15,W$2,W$3,W$4,W$5,W$6)</f>
        <v>-2</v>
      </c>
      <c r="X15" s="1"/>
      <c r="Y15" s="1"/>
    </row>
    <row r="16" spans="1:25" x14ac:dyDescent="0.25">
      <c r="B16">
        <v>-2</v>
      </c>
      <c r="D16" s="5" cm="1">
        <f t="array" ref="D16">RoundScaleBias($B16,D$2,D$3,D$4,D$5,D$6)</f>
        <v>-2</v>
      </c>
      <c r="E16" s="1" cm="1">
        <f t="array" ref="E16">RoundScaleBias($B16,E$2,E$3,E$4,E$5,E$6)</f>
        <v>-2</v>
      </c>
      <c r="F16" s="1" cm="1">
        <f t="array" ref="F16">RoundScaleBias($B16,F$2,F$3,F$4,F$5,F$6)</f>
        <v>-2</v>
      </c>
      <c r="G16" s="6" cm="1">
        <f t="array" ref="G16">RoundScaleBias($B16,G$2,G$3,G$4,G$5,G$6)</f>
        <v>-2</v>
      </c>
      <c r="H16" s="5" cm="1">
        <f t="array" ref="H16">RoundScaleBias($B16,H$2,H$3,H$4,H$5,H$6)</f>
        <v>-2.5</v>
      </c>
      <c r="I16" s="1" cm="1">
        <f t="array" ref="I16">RoundScaleBias($B16,I$2,I$3,I$4,I$5,I$6)</f>
        <v>-2.5</v>
      </c>
      <c r="J16" s="1" cm="1">
        <f t="array" ref="J16">RoundScaleBias($B16,J$2,J$3,J$4,J$5,J$6)</f>
        <v>-1.5</v>
      </c>
      <c r="K16" s="6" cm="1">
        <f t="array" ref="K16">RoundScaleBias($B16,K$2,K$3,K$4,K$5,K$6)</f>
        <v>-1.5</v>
      </c>
      <c r="L16" s="5" cm="1">
        <f t="array" ref="L16">RoundScaleBias($B16,L$2,L$3,L$4,L$5,L$6)</f>
        <v>-2</v>
      </c>
      <c r="M16" s="1" cm="1">
        <f t="array" ref="M16">RoundScaleBias($B16,M$2,M$3,M$4,M$5,M$6)</f>
        <v>-2</v>
      </c>
      <c r="N16" s="1" cm="1">
        <f t="array" ref="N16">RoundScaleBias($B16,N$2,N$3,N$4,N$5,N$6)</f>
        <v>-2</v>
      </c>
      <c r="O16" s="1" cm="1">
        <f t="array" ref="O16">RoundScaleBias($B16,O$2,O$3,O$4,O$5,O$6)</f>
        <v>-2</v>
      </c>
      <c r="P16" s="5" cm="1">
        <f t="array" ref="P16">RoundScaleBias($B16,P$2,P$3,P$4,P$5,P$6)</f>
        <v>-2</v>
      </c>
      <c r="Q16" s="1" cm="1">
        <f t="array" ref="Q16">RoundScaleBias($B16,Q$2,Q$3,Q$4,Q$5,Q$6)</f>
        <v>-2</v>
      </c>
      <c r="R16" s="1" cm="1">
        <f t="array" ref="R16">RoundScaleBias($B16,R$2,R$3,R$4,R$5,R$6)</f>
        <v>-2</v>
      </c>
      <c r="S16" s="6" cm="1">
        <f t="array" ref="S16">RoundScaleBias($B16,S$2,S$3,S$4,S$5,S$6)</f>
        <v>-2</v>
      </c>
      <c r="T16" s="5" cm="1">
        <f t="array" ref="T16">RoundScaleBias($B16,T$2,T$3,T$4,T$5,T$6)</f>
        <v>-3.5</v>
      </c>
      <c r="U16" s="6" cm="1">
        <f t="array" ref="U16">RoundScaleBias($B16,U$2,U$3,U$4,U$5,U$6)</f>
        <v>-1</v>
      </c>
      <c r="V16" s="5" cm="1">
        <f t="array" ref="V16">RoundScaleBias($B16,V$2,V$3,V$4,V$5,V$6)</f>
        <v>-2</v>
      </c>
      <c r="W16" s="6" cm="1">
        <f t="array" ref="W16">RoundScaleBias($B16,W$2,W$3,W$4,W$5,W$6)</f>
        <v>-2</v>
      </c>
      <c r="X16" s="1"/>
      <c r="Y16" s="1"/>
    </row>
    <row r="17" spans="2:25" x14ac:dyDescent="0.25">
      <c r="B17">
        <v>-1.75</v>
      </c>
      <c r="D17" s="5" cm="1">
        <f t="array" ref="D17">RoundScaleBias($B17,D$2,D$3,D$4,D$5,D$6)</f>
        <v>-2</v>
      </c>
      <c r="E17" s="1" cm="1">
        <f t="array" ref="E17">RoundScaleBias($B17,E$2,E$3,E$4,E$5,E$6)</f>
        <v>-2</v>
      </c>
      <c r="F17" s="1" cm="1">
        <f t="array" ref="F17">RoundScaleBias($B17,F$2,F$3,F$4,F$5,F$6)</f>
        <v>-2</v>
      </c>
      <c r="G17" s="6" cm="1">
        <f t="array" ref="G17">RoundScaleBias($B17,G$2,G$3,G$4,G$5,G$6)</f>
        <v>-1</v>
      </c>
      <c r="H17" s="5" cm="1">
        <f t="array" ref="H17">RoundScaleBias($B17,H$2,H$3,H$4,H$5,H$6)</f>
        <v>-2.5</v>
      </c>
      <c r="I17" s="1" cm="1">
        <f t="array" ref="I17">RoundScaleBias($B17,I$2,I$3,I$4,I$5,I$6)</f>
        <v>-1.5</v>
      </c>
      <c r="J17" s="1" cm="1">
        <f t="array" ref="J17">RoundScaleBias($B17,J$2,J$3,J$4,J$5,J$6)</f>
        <v>-1.5</v>
      </c>
      <c r="K17" s="6" cm="1">
        <f t="array" ref="K17">RoundScaleBias($B17,K$2,K$3,K$4,K$5,K$6)</f>
        <v>-1.5</v>
      </c>
      <c r="L17" s="5" cm="1">
        <f t="array" ref="L17">RoundScaleBias($B17,L$2,L$3,L$4,L$5,L$6)</f>
        <v>-2</v>
      </c>
      <c r="M17" s="1" cm="1">
        <f t="array" ref="M17">RoundScaleBias($B17,M$2,M$3,M$4,M$5,M$6)</f>
        <v>-2</v>
      </c>
      <c r="N17" s="1" cm="1">
        <f t="array" ref="N17">RoundScaleBias($B17,N$2,N$3,N$4,N$5,N$6)</f>
        <v>-2</v>
      </c>
      <c r="O17" s="1" cm="1">
        <f t="array" ref="O17">RoundScaleBias($B17,O$2,O$3,O$4,O$5,O$6)</f>
        <v>0</v>
      </c>
      <c r="P17" s="5" cm="1">
        <f t="array" ref="P17">RoundScaleBias($B17,P$2,P$3,P$4,P$5,P$6)</f>
        <v>-2</v>
      </c>
      <c r="Q17" s="1" cm="1">
        <f t="array" ref="Q17">RoundScaleBias($B17,Q$2,Q$3,Q$4,Q$5,Q$6)</f>
        <v>-2</v>
      </c>
      <c r="R17" s="1" cm="1">
        <f t="array" ref="R17">RoundScaleBias($B17,R$2,R$3,R$4,R$5,R$6)</f>
        <v>-2</v>
      </c>
      <c r="S17" s="6" cm="1">
        <f t="array" ref="S17">RoundScaleBias($B17,S$2,S$3,S$4,S$5,S$6)</f>
        <v>0</v>
      </c>
      <c r="T17" s="5" cm="1">
        <f t="array" ref="T17">RoundScaleBias($B17,T$2,T$3,T$4,T$5,T$6)</f>
        <v>-3.5</v>
      </c>
      <c r="U17" s="6" cm="1">
        <f t="array" ref="U17">RoundScaleBias($B17,U$2,U$3,U$4,U$5,U$6)</f>
        <v>-1</v>
      </c>
      <c r="V17" s="5" cm="1">
        <f t="array" ref="V17">RoundScaleBias($B17,V$2,V$3,V$4,V$5,V$6)</f>
        <v>-2</v>
      </c>
      <c r="W17" s="6" cm="1">
        <f t="array" ref="W17">RoundScaleBias($B17,W$2,W$3,W$4,W$5,W$6)</f>
        <v>-1.5</v>
      </c>
      <c r="X17" s="1"/>
      <c r="Y17" s="1"/>
    </row>
    <row r="18" spans="2:25" x14ac:dyDescent="0.25">
      <c r="B18">
        <v>-1.5</v>
      </c>
      <c r="D18" s="5" cm="1">
        <f t="array" ref="D18">RoundScaleBias($B18,D$2,D$3,D$4,D$5,D$6)</f>
        <v>-2</v>
      </c>
      <c r="E18" s="1" cm="1">
        <f t="array" ref="E18">RoundScaleBias($B18,E$2,E$3,E$4,E$5,E$6)</f>
        <v>-2</v>
      </c>
      <c r="F18" s="1" cm="1">
        <f t="array" ref="F18">RoundScaleBias($B18,F$2,F$3,F$4,F$5,F$6)</f>
        <v>-1</v>
      </c>
      <c r="G18" s="6" cm="1">
        <f t="array" ref="G18">RoundScaleBias($B18,G$2,G$3,G$4,G$5,G$6)</f>
        <v>-1</v>
      </c>
      <c r="H18" s="5" cm="1">
        <f t="array" ref="H18">RoundScaleBias($B18,H$2,H$3,H$4,H$5,H$6)</f>
        <v>-1.5</v>
      </c>
      <c r="I18" s="1" cm="1">
        <f t="array" ref="I18">RoundScaleBias($B18,I$2,I$3,I$4,I$5,I$6)</f>
        <v>-1.5</v>
      </c>
      <c r="J18" s="1" cm="1">
        <f t="array" ref="J18">RoundScaleBias($B18,J$2,J$3,J$4,J$5,J$6)</f>
        <v>-1.5</v>
      </c>
      <c r="K18" s="6" cm="1">
        <f t="array" ref="K18">RoundScaleBias($B18,K$2,K$3,K$4,K$5,K$6)</f>
        <v>-1.5</v>
      </c>
      <c r="L18" s="5" cm="1">
        <f t="array" ref="L18">RoundScaleBias($B18,L$2,L$3,L$4,L$5,L$6)</f>
        <v>-2</v>
      </c>
      <c r="M18" s="1" cm="1">
        <f t="array" ref="M18">RoundScaleBias($B18,M$2,M$3,M$4,M$5,M$6)</f>
        <v>-2</v>
      </c>
      <c r="N18" s="1" cm="1">
        <f t="array" ref="N18">RoundScaleBias($B18,N$2,N$3,N$4,N$5,N$6)</f>
        <v>-2</v>
      </c>
      <c r="O18" s="1" cm="1">
        <f t="array" ref="O18">RoundScaleBias($B18,O$2,O$3,O$4,O$5,O$6)</f>
        <v>0</v>
      </c>
      <c r="P18" s="5" cm="1">
        <f t="array" ref="P18">RoundScaleBias($B18,P$2,P$3,P$4,P$5,P$6)</f>
        <v>-2</v>
      </c>
      <c r="Q18" s="1" cm="1">
        <f t="array" ref="Q18">RoundScaleBias($B18,Q$2,Q$3,Q$4,Q$5,Q$6)</f>
        <v>-2</v>
      </c>
      <c r="R18" s="1" cm="1">
        <f t="array" ref="R18">RoundScaleBias($B18,R$2,R$3,R$4,R$5,R$6)</f>
        <v>-2</v>
      </c>
      <c r="S18" s="6" cm="1">
        <f t="array" ref="S18">RoundScaleBias($B18,S$2,S$3,S$4,S$5,S$6)</f>
        <v>0</v>
      </c>
      <c r="T18" s="5" cm="1">
        <f t="array" ref="T18">RoundScaleBias($B18,T$2,T$3,T$4,T$5,T$6)</f>
        <v>-1.5</v>
      </c>
      <c r="U18" s="6" cm="1">
        <f t="array" ref="U18">RoundScaleBias($B18,U$2,U$3,U$4,U$5,U$6)</f>
        <v>-1</v>
      </c>
      <c r="V18" s="5" cm="1">
        <f t="array" ref="V18">RoundScaleBias($B18,V$2,V$3,V$4,V$5,V$6)</f>
        <v>-1.5</v>
      </c>
      <c r="W18" s="6" cm="1">
        <f t="array" ref="W18">RoundScaleBias($B18,W$2,W$3,W$4,W$5,W$6)</f>
        <v>-1.5</v>
      </c>
      <c r="X18" s="1"/>
      <c r="Y18" s="1"/>
    </row>
    <row r="19" spans="2:25" x14ac:dyDescent="0.25">
      <c r="B19">
        <v>-1.25</v>
      </c>
      <c r="D19" s="5" cm="1">
        <f t="array" ref="D19">RoundScaleBias($B19,D$2,D$3,D$4,D$5,D$6)</f>
        <v>-2</v>
      </c>
      <c r="E19" s="1" cm="1">
        <f t="array" ref="E19">RoundScaleBias($B19,E$2,E$3,E$4,E$5,E$6)</f>
        <v>-1</v>
      </c>
      <c r="F19" s="1" cm="1">
        <f t="array" ref="F19">RoundScaleBias($B19,F$2,F$3,F$4,F$5,F$6)</f>
        <v>-1</v>
      </c>
      <c r="G19" s="6" cm="1">
        <f t="array" ref="G19">RoundScaleBias($B19,G$2,G$3,G$4,G$5,G$6)</f>
        <v>-1</v>
      </c>
      <c r="H19" s="5" cm="1">
        <f t="array" ref="H19">RoundScaleBias($B19,H$2,H$3,H$4,H$5,H$6)</f>
        <v>-1.5</v>
      </c>
      <c r="I19" s="1" cm="1">
        <f t="array" ref="I19">RoundScaleBias($B19,I$2,I$3,I$4,I$5,I$6)</f>
        <v>-1.5</v>
      </c>
      <c r="J19" s="1" cm="1">
        <f t="array" ref="J19">RoundScaleBias($B19,J$2,J$3,J$4,J$5,J$6)</f>
        <v>-1.5</v>
      </c>
      <c r="K19" s="6" cm="1">
        <f t="array" ref="K19">RoundScaleBias($B19,K$2,K$3,K$4,K$5,K$6)</f>
        <v>-0.5</v>
      </c>
      <c r="L19" s="5" cm="1">
        <f t="array" ref="L19">RoundScaleBias($B19,L$2,L$3,L$4,L$5,L$6)</f>
        <v>-2</v>
      </c>
      <c r="M19" s="1" cm="1">
        <f t="array" ref="M19">RoundScaleBias($B19,M$2,M$3,M$4,M$5,M$6)</f>
        <v>-2</v>
      </c>
      <c r="N19" s="1" cm="1">
        <f t="array" ref="N19">RoundScaleBias($B19,N$2,N$3,N$4,N$5,N$6)</f>
        <v>-2</v>
      </c>
      <c r="O19" s="1" cm="1">
        <f t="array" ref="O19">RoundScaleBias($B19,O$2,O$3,O$4,O$5,O$6)</f>
        <v>0</v>
      </c>
      <c r="P19" s="5" cm="1">
        <f t="array" ref="P19">RoundScaleBias($B19,P$2,P$3,P$4,P$5,P$6)</f>
        <v>-2</v>
      </c>
      <c r="Q19" s="1" cm="1">
        <f t="array" ref="Q19">RoundScaleBias($B19,Q$2,Q$3,Q$4,Q$5,Q$6)</f>
        <v>-2</v>
      </c>
      <c r="R19" s="1" cm="1">
        <f t="array" ref="R19">RoundScaleBias($B19,R$2,R$3,R$4,R$5,R$6)</f>
        <v>-2</v>
      </c>
      <c r="S19" s="6" cm="1">
        <f t="array" ref="S19">RoundScaleBias($B19,S$2,S$3,S$4,S$5,S$6)</f>
        <v>0</v>
      </c>
      <c r="T19" s="5" cm="1">
        <f t="array" ref="T19">RoundScaleBias($B19,T$2,T$3,T$4,T$5,T$6)</f>
        <v>-1.5</v>
      </c>
      <c r="U19" s="6" cm="1">
        <f t="array" ref="U19">RoundScaleBias($B19,U$2,U$3,U$4,U$5,U$6)</f>
        <v>-1</v>
      </c>
      <c r="V19" s="5" cm="1">
        <f t="array" ref="V19">RoundScaleBias($B19,V$2,V$3,V$4,V$5,V$6)</f>
        <v>-1.5</v>
      </c>
      <c r="W19" s="6" cm="1">
        <f t="array" ref="W19">RoundScaleBias($B19,W$2,W$3,W$4,W$5,W$6)</f>
        <v>-1</v>
      </c>
      <c r="X19" s="1"/>
      <c r="Y19" s="1"/>
    </row>
    <row r="20" spans="2:25" x14ac:dyDescent="0.25">
      <c r="B20">
        <v>-1</v>
      </c>
      <c r="D20" s="5" cm="1">
        <f t="array" ref="D20">RoundScaleBias($B20,D$2,D$3,D$4,D$5,D$6)</f>
        <v>-1</v>
      </c>
      <c r="E20" s="1" cm="1">
        <f t="array" ref="E20">RoundScaleBias($B20,E$2,E$3,E$4,E$5,E$6)</f>
        <v>-1</v>
      </c>
      <c r="F20" s="1" cm="1">
        <f t="array" ref="F20">RoundScaleBias($B20,F$2,F$3,F$4,F$5,F$6)</f>
        <v>-1</v>
      </c>
      <c r="G20" s="6" cm="1">
        <f t="array" ref="G20">RoundScaleBias($B20,G$2,G$3,G$4,G$5,G$6)</f>
        <v>-1</v>
      </c>
      <c r="H20" s="5" cm="1">
        <f t="array" ref="H20">RoundScaleBias($B20,H$2,H$3,H$4,H$5,H$6)</f>
        <v>-1.5</v>
      </c>
      <c r="I20" s="1" cm="1">
        <f t="array" ref="I20">RoundScaleBias($B20,I$2,I$3,I$4,I$5,I$6)</f>
        <v>-1.5</v>
      </c>
      <c r="J20" s="1" cm="1">
        <f t="array" ref="J20">RoundScaleBias($B20,J$2,J$3,J$4,J$5,J$6)</f>
        <v>-0.5</v>
      </c>
      <c r="K20" s="6" cm="1">
        <f t="array" ref="K20">RoundScaleBias($B20,K$2,K$3,K$4,K$5,K$6)</f>
        <v>-0.5</v>
      </c>
      <c r="L20" s="5" cm="1">
        <f t="array" ref="L20">RoundScaleBias($B20,L$2,L$3,L$4,L$5,L$6)</f>
        <v>-2</v>
      </c>
      <c r="M20" s="1" cm="1">
        <f t="array" ref="M20">RoundScaleBias($B20,M$2,M$3,M$4,M$5,M$6)</f>
        <v>-2</v>
      </c>
      <c r="N20" s="1" cm="1">
        <f t="array" ref="N20">RoundScaleBias($B20,N$2,N$3,N$4,N$5,N$6)</f>
        <v>0</v>
      </c>
      <c r="O20" s="1" cm="1">
        <f t="array" ref="O20">RoundScaleBias($B20,O$2,O$3,O$4,O$5,O$6)</f>
        <v>0</v>
      </c>
      <c r="P20" s="5" cm="1">
        <f t="array" ref="P20">RoundScaleBias($B20,P$2,P$3,P$4,P$5,P$6)</f>
        <v>-2</v>
      </c>
      <c r="Q20" s="1" cm="1">
        <f t="array" ref="Q20">RoundScaleBias($B20,Q$2,Q$3,Q$4,Q$5,Q$6)</f>
        <v>-2</v>
      </c>
      <c r="R20" s="1" cm="1">
        <f t="array" ref="R20">RoundScaleBias($B20,R$2,R$3,R$4,R$5,R$6)</f>
        <v>0</v>
      </c>
      <c r="S20" s="6" cm="1">
        <f t="array" ref="S20">RoundScaleBias($B20,S$2,S$3,S$4,S$5,S$6)</f>
        <v>0</v>
      </c>
      <c r="T20" s="5" cm="1">
        <f t="array" ref="T20">RoundScaleBias($B20,T$2,T$3,T$4,T$5,T$6)</f>
        <v>-1.5</v>
      </c>
      <c r="U20" s="6" cm="1">
        <f t="array" ref="U20">RoundScaleBias($B20,U$2,U$3,U$4,U$5,U$6)</f>
        <v>-1</v>
      </c>
      <c r="V20" s="5" cm="1">
        <f t="array" ref="V20">RoundScaleBias($B20,V$2,V$3,V$4,V$5,V$6)</f>
        <v>-1</v>
      </c>
      <c r="W20" s="6" cm="1">
        <f t="array" ref="W20">RoundScaleBias($B20,W$2,W$3,W$4,W$5,W$6)</f>
        <v>-1</v>
      </c>
      <c r="X20" s="1"/>
      <c r="Y20" s="1"/>
    </row>
    <row r="21" spans="2:25" x14ac:dyDescent="0.25">
      <c r="B21">
        <v>-0.75</v>
      </c>
      <c r="D21" s="5" cm="1">
        <f t="array" ref="D21">RoundScaleBias($B21,D$2,D$3,D$4,D$5,D$6)</f>
        <v>-1</v>
      </c>
      <c r="E21" s="1" cm="1">
        <f t="array" ref="E21">RoundScaleBias($B21,E$2,E$3,E$4,E$5,E$6)</f>
        <v>-1</v>
      </c>
      <c r="F21" s="1" cm="1">
        <f t="array" ref="F21">RoundScaleBias($B21,F$2,F$3,F$4,F$5,F$6)</f>
        <v>-1</v>
      </c>
      <c r="G21" s="6" cm="1">
        <f t="array" ref="G21">RoundScaleBias($B21,G$2,G$3,G$4,G$5,G$6)</f>
        <v>0</v>
      </c>
      <c r="H21" s="5" cm="1">
        <f t="array" ref="H21">RoundScaleBias($B21,H$2,H$3,H$4,H$5,H$6)</f>
        <v>-1.5</v>
      </c>
      <c r="I21" s="1" cm="1">
        <f t="array" ref="I21">RoundScaleBias($B21,I$2,I$3,I$4,I$5,I$6)</f>
        <v>-0.5</v>
      </c>
      <c r="J21" s="1" cm="1">
        <f t="array" ref="J21">RoundScaleBias($B21,J$2,J$3,J$4,J$5,J$6)</f>
        <v>-0.5</v>
      </c>
      <c r="K21" s="6" cm="1">
        <f t="array" ref="K21">RoundScaleBias($B21,K$2,K$3,K$4,K$5,K$6)</f>
        <v>-0.5</v>
      </c>
      <c r="L21" s="5" cm="1">
        <f t="array" ref="L21">RoundScaleBias($B21,L$2,L$3,L$4,L$5,L$6)</f>
        <v>-2</v>
      </c>
      <c r="M21" s="1" cm="1">
        <f t="array" ref="M21">RoundScaleBias($B21,M$2,M$3,M$4,M$5,M$6)</f>
        <v>0</v>
      </c>
      <c r="N21" s="1" cm="1">
        <f t="array" ref="N21">RoundScaleBias($B21,N$2,N$3,N$4,N$5,N$6)</f>
        <v>0</v>
      </c>
      <c r="O21" s="1" cm="1">
        <f t="array" ref="O21">RoundScaleBias($B21,O$2,O$3,O$4,O$5,O$6)</f>
        <v>0</v>
      </c>
      <c r="P21" s="5" cm="1">
        <f t="array" ref="P21">RoundScaleBias($B21,P$2,P$3,P$4,P$5,P$6)</f>
        <v>-2</v>
      </c>
      <c r="Q21" s="1" cm="1">
        <f t="array" ref="Q21">RoundScaleBias($B21,Q$2,Q$3,Q$4,Q$5,Q$6)</f>
        <v>0</v>
      </c>
      <c r="R21" s="1" cm="1">
        <f t="array" ref="R21">RoundScaleBias($B21,R$2,R$3,R$4,R$5,R$6)</f>
        <v>0</v>
      </c>
      <c r="S21" s="6" cm="1">
        <f t="array" ref="S21">RoundScaleBias($B21,S$2,S$3,S$4,S$5,S$6)</f>
        <v>0</v>
      </c>
      <c r="T21" s="5" cm="1">
        <f t="array" ref="T21">RoundScaleBias($B21,T$2,T$3,T$4,T$5,T$6)</f>
        <v>-1.5</v>
      </c>
      <c r="U21" s="6" cm="1">
        <f t="array" ref="U21">RoundScaleBias($B21,U$2,U$3,U$4,U$5,U$6)</f>
        <v>1</v>
      </c>
      <c r="V21" s="5" cm="1">
        <f t="array" ref="V21">RoundScaleBias($B21,V$2,V$3,V$4,V$5,V$6)</f>
        <v>-1</v>
      </c>
      <c r="W21" s="6" cm="1">
        <f t="array" ref="W21">RoundScaleBias($B21,W$2,W$3,W$4,W$5,W$6)</f>
        <v>-0.5</v>
      </c>
      <c r="X21" s="1"/>
      <c r="Y21" s="1"/>
    </row>
    <row r="22" spans="2:25" x14ac:dyDescent="0.25">
      <c r="B22">
        <v>-0.5</v>
      </c>
      <c r="D22" s="5" cm="1">
        <f t="array" ref="D22">RoundScaleBias($B22,D$2,D$3,D$4,D$5,D$6)</f>
        <v>-1</v>
      </c>
      <c r="E22" s="1" cm="1">
        <f t="array" ref="E22">RoundScaleBias($B22,E$2,E$3,E$4,E$5,E$6)</f>
        <v>-1</v>
      </c>
      <c r="F22" s="1" cm="1">
        <f t="array" ref="F22">RoundScaleBias($B22,F$2,F$3,F$4,F$5,F$6)</f>
        <v>0</v>
      </c>
      <c r="G22" s="6" cm="1">
        <f t="array" ref="G22">RoundScaleBias($B22,G$2,G$3,G$4,G$5,G$6)</f>
        <v>0</v>
      </c>
      <c r="H22" s="5" cm="1">
        <f t="array" ref="H22">RoundScaleBias($B22,H$2,H$3,H$4,H$5,H$6)</f>
        <v>-0.5</v>
      </c>
      <c r="I22" s="1" cm="1">
        <f t="array" ref="I22">RoundScaleBias($B22,I$2,I$3,I$4,I$5,I$6)</f>
        <v>-0.5</v>
      </c>
      <c r="J22" s="1" cm="1">
        <f t="array" ref="J22">RoundScaleBias($B22,J$2,J$3,J$4,J$5,J$6)</f>
        <v>-0.5</v>
      </c>
      <c r="K22" s="6" cm="1">
        <f t="array" ref="K22">RoundScaleBias($B22,K$2,K$3,K$4,K$5,K$6)</f>
        <v>-0.5</v>
      </c>
      <c r="L22" s="5" cm="1">
        <f t="array" ref="L22">RoundScaleBias($B22,L$2,L$3,L$4,L$5,L$6)</f>
        <v>-2</v>
      </c>
      <c r="M22" s="1" cm="1">
        <f t="array" ref="M22">RoundScaleBias($B22,M$2,M$3,M$4,M$5,M$6)</f>
        <v>0</v>
      </c>
      <c r="N22" s="1" cm="1">
        <f t="array" ref="N22">RoundScaleBias($B22,N$2,N$3,N$4,N$5,N$6)</f>
        <v>0</v>
      </c>
      <c r="O22" s="1" cm="1">
        <f t="array" ref="O22">RoundScaleBias($B22,O$2,O$3,O$4,O$5,O$6)</f>
        <v>0</v>
      </c>
      <c r="P22" s="5" cm="1">
        <f t="array" ref="P22">RoundScaleBias($B22,P$2,P$3,P$4,P$5,P$6)</f>
        <v>-2</v>
      </c>
      <c r="Q22" s="1" cm="1">
        <f t="array" ref="Q22">RoundScaleBias($B22,Q$2,Q$3,Q$4,Q$5,Q$6)</f>
        <v>0</v>
      </c>
      <c r="R22" s="1" cm="1">
        <f t="array" ref="R22">RoundScaleBias($B22,R$2,R$3,R$4,R$5,R$6)</f>
        <v>0</v>
      </c>
      <c r="S22" s="6" cm="1">
        <f t="array" ref="S22">RoundScaleBias($B22,S$2,S$3,S$4,S$5,S$6)</f>
        <v>0</v>
      </c>
      <c r="T22" s="5" cm="1">
        <f t="array" ref="T22">RoundScaleBias($B22,T$2,T$3,T$4,T$5,T$6)</f>
        <v>-1.5</v>
      </c>
      <c r="U22" s="6" cm="1">
        <f t="array" ref="U22">RoundScaleBias($B22,U$2,U$3,U$4,U$5,U$6)</f>
        <v>1</v>
      </c>
      <c r="V22" s="5" cm="1">
        <f t="array" ref="V22">RoundScaleBias($B22,V$2,V$3,V$4,V$5,V$6)</f>
        <v>-0.5</v>
      </c>
      <c r="W22" s="6" cm="1">
        <f t="array" ref="W22">RoundScaleBias($B22,W$2,W$3,W$4,W$5,W$6)</f>
        <v>-0.5</v>
      </c>
      <c r="X22" s="1"/>
      <c r="Y22" s="1"/>
    </row>
    <row r="23" spans="2:25" x14ac:dyDescent="0.25">
      <c r="B23">
        <v>-0.25</v>
      </c>
      <c r="D23" s="5" cm="1">
        <f t="array" ref="D23">RoundScaleBias($B23,D$2,D$3,D$4,D$5,D$6)</f>
        <v>-1</v>
      </c>
      <c r="E23" s="1" cm="1">
        <f t="array" ref="E23">RoundScaleBias($B23,E$2,E$3,E$4,E$5,E$6)</f>
        <v>0</v>
      </c>
      <c r="F23" s="1" cm="1">
        <f t="array" ref="F23">RoundScaleBias($B23,F$2,F$3,F$4,F$5,F$6)</f>
        <v>0</v>
      </c>
      <c r="G23" s="6" cm="1">
        <f t="array" ref="G23">RoundScaleBias($B23,G$2,G$3,G$4,G$5,G$6)</f>
        <v>0</v>
      </c>
      <c r="H23" s="5" cm="1">
        <f t="array" ref="H23">RoundScaleBias($B23,H$2,H$3,H$4,H$5,H$6)</f>
        <v>-0.5</v>
      </c>
      <c r="I23" s="1" cm="1">
        <f t="array" ref="I23">RoundScaleBias($B23,I$2,I$3,I$4,I$5,I$6)</f>
        <v>-0.5</v>
      </c>
      <c r="J23" s="1" cm="1">
        <f t="array" ref="J23">RoundScaleBias($B23,J$2,J$3,J$4,J$5,J$6)</f>
        <v>-0.5</v>
      </c>
      <c r="K23" s="6" cm="1">
        <f t="array" ref="K23">RoundScaleBias($B23,K$2,K$3,K$4,K$5,K$6)</f>
        <v>0.5</v>
      </c>
      <c r="L23" s="5" cm="1">
        <f t="array" ref="L23">RoundScaleBias($B23,L$2,L$3,L$4,L$5,L$6)</f>
        <v>-2</v>
      </c>
      <c r="M23" s="1" cm="1">
        <f t="array" ref="M23">RoundScaleBias($B23,M$2,M$3,M$4,M$5,M$6)</f>
        <v>0</v>
      </c>
      <c r="N23" s="1" cm="1">
        <f t="array" ref="N23">RoundScaleBias($B23,N$2,N$3,N$4,N$5,N$6)</f>
        <v>0</v>
      </c>
      <c r="O23" s="1" cm="1">
        <f t="array" ref="O23">RoundScaleBias($B23,O$2,O$3,O$4,O$5,O$6)</f>
        <v>0</v>
      </c>
      <c r="P23" s="5" cm="1">
        <f t="array" ref="P23">RoundScaleBias($B23,P$2,P$3,P$4,P$5,P$6)</f>
        <v>-2</v>
      </c>
      <c r="Q23" s="1" cm="1">
        <f t="array" ref="Q23">RoundScaleBias($B23,Q$2,Q$3,Q$4,Q$5,Q$6)</f>
        <v>0</v>
      </c>
      <c r="R23" s="1" cm="1">
        <f t="array" ref="R23">RoundScaleBias($B23,R$2,R$3,R$4,R$5,R$6)</f>
        <v>0</v>
      </c>
      <c r="S23" s="6" cm="1">
        <f t="array" ref="S23">RoundScaleBias($B23,S$2,S$3,S$4,S$5,S$6)</f>
        <v>0</v>
      </c>
      <c r="T23" s="5" cm="1">
        <f t="array" ref="T23">RoundScaleBias($B23,T$2,T$3,T$4,T$5,T$6)</f>
        <v>-1.5</v>
      </c>
      <c r="U23" s="6" cm="1">
        <f t="array" ref="U23">RoundScaleBias($B23,U$2,U$3,U$4,U$5,U$6)</f>
        <v>1</v>
      </c>
      <c r="V23" s="5" cm="1">
        <f t="array" ref="V23">RoundScaleBias($B23,V$2,V$3,V$4,V$5,V$6)</f>
        <v>-0.5</v>
      </c>
      <c r="W23" s="6" cm="1">
        <f t="array" ref="W23">RoundScaleBias($B23,W$2,W$3,W$4,W$5,W$6)</f>
        <v>0</v>
      </c>
      <c r="X23" s="1"/>
      <c r="Y23" s="1"/>
    </row>
    <row r="24" spans="2:25" x14ac:dyDescent="0.25">
      <c r="B24">
        <v>0</v>
      </c>
      <c r="D24" s="5" cm="1">
        <f t="array" ref="D24">RoundScaleBias($B24,D$2,D$3,D$4,D$5,D$6)</f>
        <v>0</v>
      </c>
      <c r="E24" s="1" cm="1">
        <f t="array" ref="E24">RoundScaleBias($B24,E$2,E$3,E$4,E$5,E$6)</f>
        <v>0</v>
      </c>
      <c r="F24" s="1" cm="1">
        <f t="array" ref="F24">RoundScaleBias($B24,F$2,F$3,F$4,F$5,F$6)</f>
        <v>0</v>
      </c>
      <c r="G24" s="6" cm="1">
        <f t="array" ref="G24">RoundScaleBias($B24,G$2,G$3,G$4,G$5,G$6)</f>
        <v>0</v>
      </c>
      <c r="H24" s="5" cm="1">
        <f t="array" ref="H24">RoundScaleBias($B24,H$2,H$3,H$4,H$5,H$6)</f>
        <v>-0.5</v>
      </c>
      <c r="I24" s="1" cm="1">
        <f t="array" ref="I24">RoundScaleBias($B24,I$2,I$3,I$4,I$5,I$6)</f>
        <v>-0.5</v>
      </c>
      <c r="J24" s="1" cm="1">
        <f t="array" ref="J24">RoundScaleBias($B24,J$2,J$3,J$4,J$5,J$6)</f>
        <v>0.5</v>
      </c>
      <c r="K24" s="6" cm="1">
        <f t="array" ref="K24">RoundScaleBias($B24,K$2,K$3,K$4,K$5,K$6)</f>
        <v>0.5</v>
      </c>
      <c r="L24" s="5" cm="1">
        <f t="array" ref="L24">RoundScaleBias($B24,L$2,L$3,L$4,L$5,L$6)</f>
        <v>0</v>
      </c>
      <c r="M24" s="1" cm="1">
        <f t="array" ref="M24">RoundScaleBias($B24,M$2,M$3,M$4,M$5,M$6)</f>
        <v>0</v>
      </c>
      <c r="N24" s="1" cm="1">
        <f t="array" ref="N24">RoundScaleBias($B24,N$2,N$3,N$4,N$5,N$6)</f>
        <v>0</v>
      </c>
      <c r="O24" s="1" cm="1">
        <f t="array" ref="O24">RoundScaleBias($B24,O$2,O$3,O$4,O$5,O$6)</f>
        <v>0</v>
      </c>
      <c r="P24" s="5" cm="1">
        <f t="array" ref="P24">RoundScaleBias($B24,P$2,P$3,P$4,P$5,P$6)</f>
        <v>0</v>
      </c>
      <c r="Q24" s="1" cm="1">
        <f t="array" ref="Q24">RoundScaleBias($B24,Q$2,Q$3,Q$4,Q$5,Q$6)</f>
        <v>0</v>
      </c>
      <c r="R24" s="1" cm="1">
        <f t="array" ref="R24">RoundScaleBias($B24,R$2,R$3,R$4,R$5,R$6)</f>
        <v>0</v>
      </c>
      <c r="S24" s="6" cm="1">
        <f t="array" ref="S24">RoundScaleBias($B24,S$2,S$3,S$4,S$5,S$6)</f>
        <v>0</v>
      </c>
      <c r="T24" s="5" cm="1">
        <f t="array" ref="T24">RoundScaleBias($B24,T$2,T$3,T$4,T$5,T$6)</f>
        <v>-1.5</v>
      </c>
      <c r="U24" s="6" cm="1">
        <f t="array" ref="U24">RoundScaleBias($B24,U$2,U$3,U$4,U$5,U$6)</f>
        <v>1</v>
      </c>
      <c r="V24" s="5" cm="1">
        <f t="array" ref="V24">RoundScaleBias($B24,V$2,V$3,V$4,V$5,V$6)</f>
        <v>0</v>
      </c>
      <c r="W24" s="6" cm="1">
        <f t="array" ref="W24">RoundScaleBias($B24,W$2,W$3,W$4,W$5,W$6)</f>
        <v>0</v>
      </c>
      <c r="X24" s="1"/>
      <c r="Y24" s="1"/>
    </row>
    <row r="25" spans="2:25" x14ac:dyDescent="0.25">
      <c r="B25">
        <v>0.25</v>
      </c>
      <c r="D25" s="5" cm="1">
        <f t="array" ref="D25">RoundScaleBias($B25,D$2,D$3,D$4,D$5,D$6)</f>
        <v>0</v>
      </c>
      <c r="E25" s="1" cm="1">
        <f t="array" ref="E25">RoundScaleBias($B25,E$2,E$3,E$4,E$5,E$6)</f>
        <v>0</v>
      </c>
      <c r="F25" s="1" cm="1">
        <f t="array" ref="F25">RoundScaleBias($B25,F$2,F$3,F$4,F$5,F$6)</f>
        <v>0</v>
      </c>
      <c r="G25" s="6" cm="1">
        <f t="array" ref="G25">RoundScaleBias($B25,G$2,G$3,G$4,G$5,G$6)</f>
        <v>1</v>
      </c>
      <c r="H25" s="5" cm="1">
        <f t="array" ref="H25">RoundScaleBias($B25,H$2,H$3,H$4,H$5,H$6)</f>
        <v>-0.5</v>
      </c>
      <c r="I25" s="1" cm="1">
        <f t="array" ref="I25">RoundScaleBias($B25,I$2,I$3,I$4,I$5,I$6)</f>
        <v>0.5</v>
      </c>
      <c r="J25" s="1" cm="1">
        <f t="array" ref="J25">RoundScaleBias($B25,J$2,J$3,J$4,J$5,J$6)</f>
        <v>0.5</v>
      </c>
      <c r="K25" s="6" cm="1">
        <f t="array" ref="K25">RoundScaleBias($B25,K$2,K$3,K$4,K$5,K$6)</f>
        <v>0.5</v>
      </c>
      <c r="L25" s="5" cm="1">
        <f t="array" ref="L25">RoundScaleBias($B25,L$2,L$3,L$4,L$5,L$6)</f>
        <v>0</v>
      </c>
      <c r="M25" s="1" cm="1">
        <f t="array" ref="M25">RoundScaleBias($B25,M$2,M$3,M$4,M$5,M$6)</f>
        <v>0</v>
      </c>
      <c r="N25" s="1" cm="1">
        <f t="array" ref="N25">RoundScaleBias($B25,N$2,N$3,N$4,N$5,N$6)</f>
        <v>0</v>
      </c>
      <c r="O25" s="1" cm="1">
        <f t="array" ref="O25">RoundScaleBias($B25,O$2,O$3,O$4,O$5,O$6)</f>
        <v>2</v>
      </c>
      <c r="P25" s="5" cm="1">
        <f t="array" ref="P25">RoundScaleBias($B25,P$2,P$3,P$4,P$5,P$6)</f>
        <v>0</v>
      </c>
      <c r="Q25" s="1" cm="1">
        <f t="array" ref="Q25">RoundScaleBias($B25,Q$2,Q$3,Q$4,Q$5,Q$6)</f>
        <v>0</v>
      </c>
      <c r="R25" s="1" cm="1">
        <f t="array" ref="R25">RoundScaleBias($B25,R$2,R$3,R$4,R$5,R$6)</f>
        <v>0</v>
      </c>
      <c r="S25" s="6" cm="1">
        <f t="array" ref="S25">RoundScaleBias($B25,S$2,S$3,S$4,S$5,S$6)</f>
        <v>2</v>
      </c>
      <c r="T25" s="5" cm="1">
        <f t="array" ref="T25">RoundScaleBias($B25,T$2,T$3,T$4,T$5,T$6)</f>
        <v>-1.5</v>
      </c>
      <c r="U25" s="6" cm="1">
        <f t="array" ref="U25">RoundScaleBias($B25,U$2,U$3,U$4,U$5,U$6)</f>
        <v>1</v>
      </c>
      <c r="V25" s="5" cm="1">
        <f t="array" ref="V25">RoundScaleBias($B25,V$2,V$3,V$4,V$5,V$6)</f>
        <v>0</v>
      </c>
      <c r="W25" s="6" cm="1">
        <f t="array" ref="W25">RoundScaleBias($B25,W$2,W$3,W$4,W$5,W$6)</f>
        <v>0.5</v>
      </c>
      <c r="X25" s="1"/>
      <c r="Y25" s="1"/>
    </row>
    <row r="26" spans="2:25" x14ac:dyDescent="0.25">
      <c r="B26">
        <v>0.5</v>
      </c>
      <c r="D26" s="5" cm="1">
        <f t="array" ref="D26">RoundScaleBias($B26,D$2,D$3,D$4,D$5,D$6)</f>
        <v>0</v>
      </c>
      <c r="E26" s="1" cm="1">
        <f t="array" ref="E26">RoundScaleBias($B26,E$2,E$3,E$4,E$5,E$6)</f>
        <v>0</v>
      </c>
      <c r="F26" s="1" cm="1">
        <f t="array" ref="F26">RoundScaleBias($B26,F$2,F$3,F$4,F$5,F$6)</f>
        <v>1</v>
      </c>
      <c r="G26" s="6" cm="1">
        <f t="array" ref="G26">RoundScaleBias($B26,G$2,G$3,G$4,G$5,G$6)</f>
        <v>1</v>
      </c>
      <c r="H26" s="5" cm="1">
        <f t="array" ref="H26">RoundScaleBias($B26,H$2,H$3,H$4,H$5,H$6)</f>
        <v>0.5</v>
      </c>
      <c r="I26" s="1" cm="1">
        <f t="array" ref="I26">RoundScaleBias($B26,I$2,I$3,I$4,I$5,I$6)</f>
        <v>0.5</v>
      </c>
      <c r="J26" s="1" cm="1">
        <f t="array" ref="J26">RoundScaleBias($B26,J$2,J$3,J$4,J$5,J$6)</f>
        <v>0.5</v>
      </c>
      <c r="K26" s="6" cm="1">
        <f t="array" ref="K26">RoundScaleBias($B26,K$2,K$3,K$4,K$5,K$6)</f>
        <v>0.5</v>
      </c>
      <c r="L26" s="5" cm="1">
        <f t="array" ref="L26">RoundScaleBias($B26,L$2,L$3,L$4,L$5,L$6)</f>
        <v>0</v>
      </c>
      <c r="M26" s="1" cm="1">
        <f t="array" ref="M26">RoundScaleBias($B26,M$2,M$3,M$4,M$5,M$6)</f>
        <v>0</v>
      </c>
      <c r="N26" s="1" cm="1">
        <f t="array" ref="N26">RoundScaleBias($B26,N$2,N$3,N$4,N$5,N$6)</f>
        <v>0</v>
      </c>
      <c r="O26" s="1" cm="1">
        <f t="array" ref="O26">RoundScaleBias($B26,O$2,O$3,O$4,O$5,O$6)</f>
        <v>2</v>
      </c>
      <c r="P26" s="5" cm="1">
        <f t="array" ref="P26">RoundScaleBias($B26,P$2,P$3,P$4,P$5,P$6)</f>
        <v>0</v>
      </c>
      <c r="Q26" s="1" cm="1">
        <f t="array" ref="Q26">RoundScaleBias($B26,Q$2,Q$3,Q$4,Q$5,Q$6)</f>
        <v>0</v>
      </c>
      <c r="R26" s="1" cm="1">
        <f t="array" ref="R26">RoundScaleBias($B26,R$2,R$3,R$4,R$5,R$6)</f>
        <v>0</v>
      </c>
      <c r="S26" s="6" cm="1">
        <f t="array" ref="S26">RoundScaleBias($B26,S$2,S$3,S$4,S$5,S$6)</f>
        <v>2</v>
      </c>
      <c r="T26" s="5" cm="1">
        <f t="array" ref="T26">RoundScaleBias($B26,T$2,T$3,T$4,T$5,T$6)</f>
        <v>0.5</v>
      </c>
      <c r="U26" s="6" cm="1">
        <f t="array" ref="U26">RoundScaleBias($B26,U$2,U$3,U$4,U$5,U$6)</f>
        <v>1</v>
      </c>
      <c r="V26" s="5" cm="1">
        <f t="array" ref="V26">RoundScaleBias($B26,V$2,V$3,V$4,V$5,V$6)</f>
        <v>0.5</v>
      </c>
      <c r="W26" s="6" cm="1">
        <f t="array" ref="W26">RoundScaleBias($B26,W$2,W$3,W$4,W$5,W$6)</f>
        <v>0.5</v>
      </c>
      <c r="X26" s="1"/>
      <c r="Y26" s="1"/>
    </row>
    <row r="27" spans="2:25" x14ac:dyDescent="0.25">
      <c r="B27">
        <v>0.75</v>
      </c>
      <c r="D27" s="5" cm="1">
        <f t="array" ref="D27">RoundScaleBias($B27,D$2,D$3,D$4,D$5,D$6)</f>
        <v>0</v>
      </c>
      <c r="E27" s="1" cm="1">
        <f t="array" ref="E27">RoundScaleBias($B27,E$2,E$3,E$4,E$5,E$6)</f>
        <v>1</v>
      </c>
      <c r="F27" s="1" cm="1">
        <f t="array" ref="F27">RoundScaleBias($B27,F$2,F$3,F$4,F$5,F$6)</f>
        <v>1</v>
      </c>
      <c r="G27" s="6" cm="1">
        <f t="array" ref="G27">RoundScaleBias($B27,G$2,G$3,G$4,G$5,G$6)</f>
        <v>1</v>
      </c>
      <c r="H27" s="5" cm="1">
        <f t="array" ref="H27">RoundScaleBias($B27,H$2,H$3,H$4,H$5,H$6)</f>
        <v>0.5</v>
      </c>
      <c r="I27" s="1" cm="1">
        <f t="array" ref="I27">RoundScaleBias($B27,I$2,I$3,I$4,I$5,I$6)</f>
        <v>0.5</v>
      </c>
      <c r="J27" s="1" cm="1">
        <f t="array" ref="J27">RoundScaleBias($B27,J$2,J$3,J$4,J$5,J$6)</f>
        <v>0.5</v>
      </c>
      <c r="K27" s="6" cm="1">
        <f t="array" ref="K27">RoundScaleBias($B27,K$2,K$3,K$4,K$5,K$6)</f>
        <v>1.5</v>
      </c>
      <c r="L27" s="5" cm="1">
        <f t="array" ref="L27">RoundScaleBias($B27,L$2,L$3,L$4,L$5,L$6)</f>
        <v>0</v>
      </c>
      <c r="M27" s="1" cm="1">
        <f t="array" ref="M27">RoundScaleBias($B27,M$2,M$3,M$4,M$5,M$6)</f>
        <v>0</v>
      </c>
      <c r="N27" s="1" cm="1">
        <f t="array" ref="N27">RoundScaleBias($B27,N$2,N$3,N$4,N$5,N$6)</f>
        <v>0</v>
      </c>
      <c r="O27" s="1" cm="1">
        <f t="array" ref="O27">RoundScaleBias($B27,O$2,O$3,O$4,O$5,O$6)</f>
        <v>2</v>
      </c>
      <c r="P27" s="5" cm="1">
        <f t="array" ref="P27">RoundScaleBias($B27,P$2,P$3,P$4,P$5,P$6)</f>
        <v>0</v>
      </c>
      <c r="Q27" s="1" cm="1">
        <f t="array" ref="Q27">RoundScaleBias($B27,Q$2,Q$3,Q$4,Q$5,Q$6)</f>
        <v>0</v>
      </c>
      <c r="R27" s="1" cm="1">
        <f t="array" ref="R27">RoundScaleBias($B27,R$2,R$3,R$4,R$5,R$6)</f>
        <v>0</v>
      </c>
      <c r="S27" s="6" cm="1">
        <f t="array" ref="S27">RoundScaleBias($B27,S$2,S$3,S$4,S$5,S$6)</f>
        <v>2</v>
      </c>
      <c r="T27" s="5" cm="1">
        <f t="array" ref="T27">RoundScaleBias($B27,T$2,T$3,T$4,T$5,T$6)</f>
        <v>0.5</v>
      </c>
      <c r="U27" s="6" cm="1">
        <f t="array" ref="U27">RoundScaleBias($B27,U$2,U$3,U$4,U$5,U$6)</f>
        <v>1</v>
      </c>
      <c r="V27" s="5" cm="1">
        <f t="array" ref="V27">RoundScaleBias($B27,V$2,V$3,V$4,V$5,V$6)</f>
        <v>0.5</v>
      </c>
      <c r="W27" s="6" cm="1">
        <f t="array" ref="W27">RoundScaleBias($B27,W$2,W$3,W$4,W$5,W$6)</f>
        <v>1</v>
      </c>
      <c r="X27" s="1"/>
      <c r="Y27" s="1"/>
    </row>
    <row r="28" spans="2:25" x14ac:dyDescent="0.25">
      <c r="B28">
        <v>1</v>
      </c>
      <c r="D28" s="5" cm="1">
        <f t="array" ref="D28">RoundScaleBias($B28,D$2,D$3,D$4,D$5,D$6)</f>
        <v>1</v>
      </c>
      <c r="E28" s="1" cm="1">
        <f t="array" ref="E28">RoundScaleBias($B28,E$2,E$3,E$4,E$5,E$6)</f>
        <v>1</v>
      </c>
      <c r="F28" s="1" cm="1">
        <f t="array" ref="F28">RoundScaleBias($B28,F$2,F$3,F$4,F$5,F$6)</f>
        <v>1</v>
      </c>
      <c r="G28" s="6" cm="1">
        <f t="array" ref="G28">RoundScaleBias($B28,G$2,G$3,G$4,G$5,G$6)</f>
        <v>1</v>
      </c>
      <c r="H28" s="5" cm="1">
        <f t="array" ref="H28">RoundScaleBias($B28,H$2,H$3,H$4,H$5,H$6)</f>
        <v>0.5</v>
      </c>
      <c r="I28" s="1" cm="1">
        <f t="array" ref="I28">RoundScaleBias($B28,I$2,I$3,I$4,I$5,I$6)</f>
        <v>0.5</v>
      </c>
      <c r="J28" s="1" cm="1">
        <f t="array" ref="J28">RoundScaleBias($B28,J$2,J$3,J$4,J$5,J$6)</f>
        <v>1.5</v>
      </c>
      <c r="K28" s="6" cm="1">
        <f t="array" ref="K28">RoundScaleBias($B28,K$2,K$3,K$4,K$5,K$6)</f>
        <v>1.5</v>
      </c>
      <c r="L28" s="5" cm="1">
        <f t="array" ref="L28">RoundScaleBias($B28,L$2,L$3,L$4,L$5,L$6)</f>
        <v>0</v>
      </c>
      <c r="M28" s="1" cm="1">
        <f t="array" ref="M28">RoundScaleBias($B28,M$2,M$3,M$4,M$5,M$6)</f>
        <v>0</v>
      </c>
      <c r="N28" s="1" cm="1">
        <f t="array" ref="N28">RoundScaleBias($B28,N$2,N$3,N$4,N$5,N$6)</f>
        <v>2</v>
      </c>
      <c r="O28" s="1" cm="1">
        <f t="array" ref="O28">RoundScaleBias($B28,O$2,O$3,O$4,O$5,O$6)</f>
        <v>2</v>
      </c>
      <c r="P28" s="5" cm="1">
        <f t="array" ref="P28">RoundScaleBias($B28,P$2,P$3,P$4,P$5,P$6)</f>
        <v>0</v>
      </c>
      <c r="Q28" s="1" cm="1">
        <f t="array" ref="Q28">RoundScaleBias($B28,Q$2,Q$3,Q$4,Q$5,Q$6)</f>
        <v>0</v>
      </c>
      <c r="R28" s="1" cm="1">
        <f t="array" ref="R28">RoundScaleBias($B28,R$2,R$3,R$4,R$5,R$6)</f>
        <v>2</v>
      </c>
      <c r="S28" s="6" cm="1">
        <f t="array" ref="S28">RoundScaleBias($B28,S$2,S$3,S$4,S$5,S$6)</f>
        <v>2</v>
      </c>
      <c r="T28" s="5" cm="1">
        <f t="array" ref="T28">RoundScaleBias($B28,T$2,T$3,T$4,T$5,T$6)</f>
        <v>0.5</v>
      </c>
      <c r="U28" s="6" cm="1">
        <f t="array" ref="U28">RoundScaleBias($B28,U$2,U$3,U$4,U$5,U$6)</f>
        <v>1</v>
      </c>
      <c r="V28" s="5" cm="1">
        <f t="array" ref="V28">RoundScaleBias($B28,V$2,V$3,V$4,V$5,V$6)</f>
        <v>1</v>
      </c>
      <c r="W28" s="6" cm="1">
        <f t="array" ref="W28">RoundScaleBias($B28,W$2,W$3,W$4,W$5,W$6)</f>
        <v>1</v>
      </c>
      <c r="X28" s="1"/>
      <c r="Y28" s="1"/>
    </row>
    <row r="29" spans="2:25" x14ac:dyDescent="0.25">
      <c r="B29">
        <v>1.25</v>
      </c>
      <c r="D29" s="5" cm="1">
        <f t="array" ref="D29">RoundScaleBias($B29,D$2,D$3,D$4,D$5,D$6)</f>
        <v>1</v>
      </c>
      <c r="E29" s="1" cm="1">
        <f t="array" ref="E29">RoundScaleBias($B29,E$2,E$3,E$4,E$5,E$6)</f>
        <v>1</v>
      </c>
      <c r="F29" s="1" cm="1">
        <f t="array" ref="F29">RoundScaleBias($B29,F$2,F$3,F$4,F$5,F$6)</f>
        <v>1</v>
      </c>
      <c r="G29" s="6" cm="1">
        <f t="array" ref="G29">RoundScaleBias($B29,G$2,G$3,G$4,G$5,G$6)</f>
        <v>2</v>
      </c>
      <c r="H29" s="5" cm="1">
        <f t="array" ref="H29">RoundScaleBias($B29,H$2,H$3,H$4,H$5,H$6)</f>
        <v>0.5</v>
      </c>
      <c r="I29" s="1" cm="1">
        <f t="array" ref="I29">RoundScaleBias($B29,I$2,I$3,I$4,I$5,I$6)</f>
        <v>1.5</v>
      </c>
      <c r="J29" s="1" cm="1">
        <f t="array" ref="J29">RoundScaleBias($B29,J$2,J$3,J$4,J$5,J$6)</f>
        <v>1.5</v>
      </c>
      <c r="K29" s="6" cm="1">
        <f t="array" ref="K29">RoundScaleBias($B29,K$2,K$3,K$4,K$5,K$6)</f>
        <v>1.5</v>
      </c>
      <c r="L29" s="5" cm="1">
        <f t="array" ref="L29">RoundScaleBias($B29,L$2,L$3,L$4,L$5,L$6)</f>
        <v>0</v>
      </c>
      <c r="M29" s="1" cm="1">
        <f t="array" ref="M29">RoundScaleBias($B29,M$2,M$3,M$4,M$5,M$6)</f>
        <v>2</v>
      </c>
      <c r="N29" s="1" cm="1">
        <f t="array" ref="N29">RoundScaleBias($B29,N$2,N$3,N$4,N$5,N$6)</f>
        <v>2</v>
      </c>
      <c r="O29" s="1" cm="1">
        <f t="array" ref="O29">RoundScaleBias($B29,O$2,O$3,O$4,O$5,O$6)</f>
        <v>2</v>
      </c>
      <c r="P29" s="5" cm="1">
        <f t="array" ref="P29">RoundScaleBias($B29,P$2,P$3,P$4,P$5,P$6)</f>
        <v>0</v>
      </c>
      <c r="Q29" s="1" cm="1">
        <f t="array" ref="Q29">RoundScaleBias($B29,Q$2,Q$3,Q$4,Q$5,Q$6)</f>
        <v>2</v>
      </c>
      <c r="R29" s="1" cm="1">
        <f t="array" ref="R29">RoundScaleBias($B29,R$2,R$3,R$4,R$5,R$6)</f>
        <v>2</v>
      </c>
      <c r="S29" s="6" cm="1">
        <f t="array" ref="S29">RoundScaleBias($B29,S$2,S$3,S$4,S$5,S$6)</f>
        <v>2</v>
      </c>
      <c r="T29" s="5" cm="1">
        <f t="array" ref="T29">RoundScaleBias($B29,T$2,T$3,T$4,T$5,T$6)</f>
        <v>0.5</v>
      </c>
      <c r="U29" s="6" cm="1">
        <f t="array" ref="U29">RoundScaleBias($B29,U$2,U$3,U$4,U$5,U$6)</f>
        <v>3</v>
      </c>
      <c r="V29" s="5" cm="1">
        <f t="array" ref="V29">RoundScaleBias($B29,V$2,V$3,V$4,V$5,V$6)</f>
        <v>1</v>
      </c>
      <c r="W29" s="6" cm="1">
        <f t="array" ref="W29">RoundScaleBias($B29,W$2,W$3,W$4,W$5,W$6)</f>
        <v>1.5</v>
      </c>
      <c r="X29" s="1"/>
      <c r="Y29" s="1"/>
    </row>
    <row r="30" spans="2:25" x14ac:dyDescent="0.25">
      <c r="B30">
        <v>1.5</v>
      </c>
      <c r="D30" s="5" cm="1">
        <f t="array" ref="D30">RoundScaleBias($B30,D$2,D$3,D$4,D$5,D$6)</f>
        <v>1</v>
      </c>
      <c r="E30" s="1" cm="1">
        <f t="array" ref="E30">RoundScaleBias($B30,E$2,E$3,E$4,E$5,E$6)</f>
        <v>1</v>
      </c>
      <c r="F30" s="1" cm="1">
        <f t="array" ref="F30">RoundScaleBias($B30,F$2,F$3,F$4,F$5,F$6)</f>
        <v>2</v>
      </c>
      <c r="G30" s="6" cm="1">
        <f t="array" ref="G30">RoundScaleBias($B30,G$2,G$3,G$4,G$5,G$6)</f>
        <v>2</v>
      </c>
      <c r="H30" s="5" cm="1">
        <f t="array" ref="H30">RoundScaleBias($B30,H$2,H$3,H$4,H$5,H$6)</f>
        <v>1.5</v>
      </c>
      <c r="I30" s="1" cm="1">
        <f t="array" ref="I30">RoundScaleBias($B30,I$2,I$3,I$4,I$5,I$6)</f>
        <v>1.5</v>
      </c>
      <c r="J30" s="1" cm="1">
        <f t="array" ref="J30">RoundScaleBias($B30,J$2,J$3,J$4,J$5,J$6)</f>
        <v>1.5</v>
      </c>
      <c r="K30" s="6" cm="1">
        <f t="array" ref="K30">RoundScaleBias($B30,K$2,K$3,K$4,K$5,K$6)</f>
        <v>1.5</v>
      </c>
      <c r="L30" s="5" cm="1">
        <f t="array" ref="L30">RoundScaleBias($B30,L$2,L$3,L$4,L$5,L$6)</f>
        <v>0</v>
      </c>
      <c r="M30" s="1" cm="1">
        <f t="array" ref="M30">RoundScaleBias($B30,M$2,M$3,M$4,M$5,M$6)</f>
        <v>2</v>
      </c>
      <c r="N30" s="1" cm="1">
        <f t="array" ref="N30">RoundScaleBias($B30,N$2,N$3,N$4,N$5,N$6)</f>
        <v>2</v>
      </c>
      <c r="O30" s="1" cm="1">
        <f t="array" ref="O30">RoundScaleBias($B30,O$2,O$3,O$4,O$5,O$6)</f>
        <v>2</v>
      </c>
      <c r="P30" s="5" cm="1">
        <f t="array" ref="P30">RoundScaleBias($B30,P$2,P$3,P$4,P$5,P$6)</f>
        <v>0</v>
      </c>
      <c r="Q30" s="1" cm="1">
        <f t="array" ref="Q30">RoundScaleBias($B30,Q$2,Q$3,Q$4,Q$5,Q$6)</f>
        <v>2</v>
      </c>
      <c r="R30" s="1" cm="1">
        <f t="array" ref="R30">RoundScaleBias($B30,R$2,R$3,R$4,R$5,R$6)</f>
        <v>2</v>
      </c>
      <c r="S30" s="6" cm="1">
        <f t="array" ref="S30">RoundScaleBias($B30,S$2,S$3,S$4,S$5,S$6)</f>
        <v>2</v>
      </c>
      <c r="T30" s="5" cm="1">
        <f t="array" ref="T30">RoundScaleBias($B30,T$2,T$3,T$4,T$5,T$6)</f>
        <v>0.5</v>
      </c>
      <c r="U30" s="6" cm="1">
        <f t="array" ref="U30">RoundScaleBias($B30,U$2,U$3,U$4,U$5,U$6)</f>
        <v>3</v>
      </c>
      <c r="V30" s="5" cm="1">
        <f t="array" ref="V30">RoundScaleBias($B30,V$2,V$3,V$4,V$5,V$6)</f>
        <v>1.5</v>
      </c>
      <c r="W30" s="6" cm="1">
        <f t="array" ref="W30">RoundScaleBias($B30,W$2,W$3,W$4,W$5,W$6)</f>
        <v>1.5</v>
      </c>
      <c r="X30" s="1"/>
      <c r="Y30" s="1"/>
    </row>
    <row r="31" spans="2:25" x14ac:dyDescent="0.25">
      <c r="B31">
        <v>1.75</v>
      </c>
      <c r="D31" s="5" cm="1">
        <f t="array" ref="D31">RoundScaleBias($B31,D$2,D$3,D$4,D$5,D$6)</f>
        <v>1</v>
      </c>
      <c r="E31" s="1" cm="1">
        <f t="array" ref="E31">RoundScaleBias($B31,E$2,E$3,E$4,E$5,E$6)</f>
        <v>2</v>
      </c>
      <c r="F31" s="1" cm="1">
        <f t="array" ref="F31">RoundScaleBias($B31,F$2,F$3,F$4,F$5,F$6)</f>
        <v>2</v>
      </c>
      <c r="G31" s="6" cm="1">
        <f t="array" ref="G31">RoundScaleBias($B31,G$2,G$3,G$4,G$5,G$6)</f>
        <v>2</v>
      </c>
      <c r="H31" s="5" cm="1">
        <f t="array" ref="H31">RoundScaleBias($B31,H$2,H$3,H$4,H$5,H$6)</f>
        <v>1.5</v>
      </c>
      <c r="I31" s="1" cm="1">
        <f t="array" ref="I31">RoundScaleBias($B31,I$2,I$3,I$4,I$5,I$6)</f>
        <v>1.5</v>
      </c>
      <c r="J31" s="1" cm="1">
        <f t="array" ref="J31">RoundScaleBias($B31,J$2,J$3,J$4,J$5,J$6)</f>
        <v>1.5</v>
      </c>
      <c r="K31" s="6" cm="1">
        <f t="array" ref="K31">RoundScaleBias($B31,K$2,K$3,K$4,K$5,K$6)</f>
        <v>2.5</v>
      </c>
      <c r="L31" s="5" cm="1">
        <f t="array" ref="L31">RoundScaleBias($B31,L$2,L$3,L$4,L$5,L$6)</f>
        <v>0</v>
      </c>
      <c r="M31" s="1" cm="1">
        <f t="array" ref="M31">RoundScaleBias($B31,M$2,M$3,M$4,M$5,M$6)</f>
        <v>2</v>
      </c>
      <c r="N31" s="1" cm="1">
        <f t="array" ref="N31">RoundScaleBias($B31,N$2,N$3,N$4,N$5,N$6)</f>
        <v>2</v>
      </c>
      <c r="O31" s="1" cm="1">
        <f t="array" ref="O31">RoundScaleBias($B31,O$2,O$3,O$4,O$5,O$6)</f>
        <v>2</v>
      </c>
      <c r="P31" s="5" cm="1">
        <f t="array" ref="P31">RoundScaleBias($B31,P$2,P$3,P$4,P$5,P$6)</f>
        <v>0</v>
      </c>
      <c r="Q31" s="1" cm="1">
        <f t="array" ref="Q31">RoundScaleBias($B31,Q$2,Q$3,Q$4,Q$5,Q$6)</f>
        <v>2</v>
      </c>
      <c r="R31" s="1" cm="1">
        <f t="array" ref="R31">RoundScaleBias($B31,R$2,R$3,R$4,R$5,R$6)</f>
        <v>2</v>
      </c>
      <c r="S31" s="6" cm="1">
        <f t="array" ref="S31">RoundScaleBias($B31,S$2,S$3,S$4,S$5,S$6)</f>
        <v>2</v>
      </c>
      <c r="T31" s="5" cm="1">
        <f t="array" ref="T31">RoundScaleBias($B31,T$2,T$3,T$4,T$5,T$6)</f>
        <v>0.5</v>
      </c>
      <c r="U31" s="6" cm="1">
        <f t="array" ref="U31">RoundScaleBias($B31,U$2,U$3,U$4,U$5,U$6)</f>
        <v>3</v>
      </c>
      <c r="V31" s="5" cm="1">
        <f t="array" ref="V31">RoundScaleBias($B31,V$2,V$3,V$4,V$5,V$6)</f>
        <v>1.5</v>
      </c>
      <c r="W31" s="6" cm="1">
        <f t="array" ref="W31">RoundScaleBias($B31,W$2,W$3,W$4,W$5,W$6)</f>
        <v>2</v>
      </c>
      <c r="X31" s="1"/>
      <c r="Y31" s="1"/>
    </row>
    <row r="32" spans="2:25" x14ac:dyDescent="0.25">
      <c r="B32">
        <v>2</v>
      </c>
      <c r="D32" s="5" cm="1">
        <f t="array" ref="D32">RoundScaleBias($B32,D$2,D$3,D$4,D$5,D$6)</f>
        <v>2</v>
      </c>
      <c r="E32" s="1" cm="1">
        <f t="array" ref="E32">RoundScaleBias($B32,E$2,E$3,E$4,E$5,E$6)</f>
        <v>2</v>
      </c>
      <c r="F32" s="1" cm="1">
        <f t="array" ref="F32">RoundScaleBias($B32,F$2,F$3,F$4,F$5,F$6)</f>
        <v>2</v>
      </c>
      <c r="G32" s="6" cm="1">
        <f t="array" ref="G32">RoundScaleBias($B32,G$2,G$3,G$4,G$5,G$6)</f>
        <v>2</v>
      </c>
      <c r="H32" s="5" cm="1">
        <f t="array" ref="H32">RoundScaleBias($B32,H$2,H$3,H$4,H$5,H$6)</f>
        <v>1.5</v>
      </c>
      <c r="I32" s="1" cm="1">
        <f t="array" ref="I32">RoundScaleBias($B32,I$2,I$3,I$4,I$5,I$6)</f>
        <v>1.5</v>
      </c>
      <c r="J32" s="1" cm="1">
        <f t="array" ref="J32">RoundScaleBias($B32,J$2,J$3,J$4,J$5,J$6)</f>
        <v>2.5</v>
      </c>
      <c r="K32" s="6" cm="1">
        <f t="array" ref="K32">RoundScaleBias($B32,K$2,K$3,K$4,K$5,K$6)</f>
        <v>2.5</v>
      </c>
      <c r="L32" s="5" cm="1">
        <f t="array" ref="L32">RoundScaleBias($B32,L$2,L$3,L$4,L$5,L$6)</f>
        <v>2</v>
      </c>
      <c r="M32" s="1" cm="1">
        <f t="array" ref="M32">RoundScaleBias($B32,M$2,M$3,M$4,M$5,M$6)</f>
        <v>2</v>
      </c>
      <c r="N32" s="1" cm="1">
        <f t="array" ref="N32">RoundScaleBias($B32,N$2,N$3,N$4,N$5,N$6)</f>
        <v>2</v>
      </c>
      <c r="O32" s="1" cm="1">
        <f t="array" ref="O32">RoundScaleBias($B32,O$2,O$3,O$4,O$5,O$6)</f>
        <v>2</v>
      </c>
      <c r="P32" s="5" cm="1">
        <f t="array" ref="P32">RoundScaleBias($B32,P$2,P$3,P$4,P$5,P$6)</f>
        <v>2</v>
      </c>
      <c r="Q32" s="1" cm="1">
        <f t="array" ref="Q32">RoundScaleBias($B32,Q$2,Q$3,Q$4,Q$5,Q$6)</f>
        <v>2</v>
      </c>
      <c r="R32" s="1" cm="1">
        <f t="array" ref="R32">RoundScaleBias($B32,R$2,R$3,R$4,R$5,R$6)</f>
        <v>2</v>
      </c>
      <c r="S32" s="6" cm="1">
        <f t="array" ref="S32">RoundScaleBias($B32,S$2,S$3,S$4,S$5,S$6)</f>
        <v>2</v>
      </c>
      <c r="T32" s="5" cm="1">
        <f t="array" ref="T32">RoundScaleBias($B32,T$2,T$3,T$4,T$5,T$6)</f>
        <v>0.5</v>
      </c>
      <c r="U32" s="6" cm="1">
        <f t="array" ref="U32">RoundScaleBias($B32,U$2,U$3,U$4,U$5,U$6)</f>
        <v>3</v>
      </c>
      <c r="V32" s="5" cm="1">
        <f t="array" ref="V32">RoundScaleBias($B32,V$2,V$3,V$4,V$5,V$6)</f>
        <v>2</v>
      </c>
      <c r="W32" s="6" cm="1">
        <f t="array" ref="W32">RoundScaleBias($B32,W$2,W$3,W$4,W$5,W$6)</f>
        <v>2</v>
      </c>
      <c r="X32" s="1"/>
      <c r="Y32" s="1"/>
    </row>
    <row r="33" spans="2:25" x14ac:dyDescent="0.25">
      <c r="B33">
        <v>2.25</v>
      </c>
      <c r="D33" s="5" cm="1">
        <f t="array" ref="D33">RoundScaleBias($B33,D$2,D$3,D$4,D$5,D$6)</f>
        <v>2</v>
      </c>
      <c r="E33" s="1" cm="1">
        <f t="array" ref="E33">RoundScaleBias($B33,E$2,E$3,E$4,E$5,E$6)</f>
        <v>2</v>
      </c>
      <c r="F33" s="1" cm="1">
        <f t="array" ref="F33">RoundScaleBias($B33,F$2,F$3,F$4,F$5,F$6)</f>
        <v>2</v>
      </c>
      <c r="G33" s="6" cm="1">
        <f t="array" ref="G33">RoundScaleBias($B33,G$2,G$3,G$4,G$5,G$6)</f>
        <v>3</v>
      </c>
      <c r="H33" s="5" cm="1">
        <f t="array" ref="H33">RoundScaleBias($B33,H$2,H$3,H$4,H$5,H$6)</f>
        <v>1.5</v>
      </c>
      <c r="I33" s="1" cm="1">
        <f t="array" ref="I33">RoundScaleBias($B33,I$2,I$3,I$4,I$5,I$6)</f>
        <v>2.5</v>
      </c>
      <c r="J33" s="1" cm="1">
        <f t="array" ref="J33">RoundScaleBias($B33,J$2,J$3,J$4,J$5,J$6)</f>
        <v>2.5</v>
      </c>
      <c r="K33" s="6" cm="1">
        <f t="array" ref="K33">RoundScaleBias($B33,K$2,K$3,K$4,K$5,K$6)</f>
        <v>2.5</v>
      </c>
      <c r="L33" s="5" cm="1">
        <f t="array" ref="L33">RoundScaleBias($B33,L$2,L$3,L$4,L$5,L$6)</f>
        <v>2</v>
      </c>
      <c r="M33" s="1" cm="1">
        <f t="array" ref="M33">RoundScaleBias($B33,M$2,M$3,M$4,M$5,M$6)</f>
        <v>2</v>
      </c>
      <c r="N33" s="1" cm="1">
        <f t="array" ref="N33">RoundScaleBias($B33,N$2,N$3,N$4,N$5,N$6)</f>
        <v>2</v>
      </c>
      <c r="O33" s="1" cm="1">
        <f t="array" ref="O33">RoundScaleBias($B33,O$2,O$3,O$4,O$5,O$6)</f>
        <v>4</v>
      </c>
      <c r="P33" s="5" cm="1">
        <f t="array" ref="P33">RoundScaleBias($B33,P$2,P$3,P$4,P$5,P$6)</f>
        <v>2</v>
      </c>
      <c r="Q33" s="1" cm="1">
        <f t="array" ref="Q33">RoundScaleBias($B33,Q$2,Q$3,Q$4,Q$5,Q$6)</f>
        <v>2</v>
      </c>
      <c r="R33" s="1" cm="1">
        <f t="array" ref="R33">RoundScaleBias($B33,R$2,R$3,R$4,R$5,R$6)</f>
        <v>2</v>
      </c>
      <c r="S33" s="6" cm="1">
        <f t="array" ref="S33">RoundScaleBias($B33,S$2,S$3,S$4,S$5,S$6)</f>
        <v>4</v>
      </c>
      <c r="T33" s="5" cm="1">
        <f t="array" ref="T33">RoundScaleBias($B33,T$2,T$3,T$4,T$5,T$6)</f>
        <v>0.5</v>
      </c>
      <c r="U33" s="6" cm="1">
        <f t="array" ref="U33">RoundScaleBias($B33,U$2,U$3,U$4,U$5,U$6)</f>
        <v>3</v>
      </c>
      <c r="V33" s="5" cm="1">
        <f t="array" ref="V33">RoundScaleBias($B33,V$2,V$3,V$4,V$5,V$6)</f>
        <v>2</v>
      </c>
      <c r="W33" s="6" cm="1">
        <f t="array" ref="W33">RoundScaleBias($B33,W$2,W$3,W$4,W$5,W$6)</f>
        <v>2.5</v>
      </c>
      <c r="X33" s="1"/>
      <c r="Y33" s="1"/>
    </row>
    <row r="34" spans="2:25" x14ac:dyDescent="0.25">
      <c r="B34">
        <v>2.5</v>
      </c>
      <c r="D34" s="5" cm="1">
        <f t="array" ref="D34">RoundScaleBias($B34,D$2,D$3,D$4,D$5,D$6)</f>
        <v>2</v>
      </c>
      <c r="E34" s="1" cm="1">
        <f t="array" ref="E34">RoundScaleBias($B34,E$2,E$3,E$4,E$5,E$6)</f>
        <v>2</v>
      </c>
      <c r="F34" s="1" cm="1">
        <f t="array" ref="F34">RoundScaleBias($B34,F$2,F$3,F$4,F$5,F$6)</f>
        <v>3</v>
      </c>
      <c r="G34" s="6" cm="1">
        <f t="array" ref="G34">RoundScaleBias($B34,G$2,G$3,G$4,G$5,G$6)</f>
        <v>3</v>
      </c>
      <c r="H34" s="5" cm="1">
        <f t="array" ref="H34">RoundScaleBias($B34,H$2,H$3,H$4,H$5,H$6)</f>
        <v>2.5</v>
      </c>
      <c r="I34" s="1" cm="1">
        <f t="array" ref="I34">RoundScaleBias($B34,I$2,I$3,I$4,I$5,I$6)</f>
        <v>2.5</v>
      </c>
      <c r="J34" s="1" cm="1">
        <f t="array" ref="J34">RoundScaleBias($B34,J$2,J$3,J$4,J$5,J$6)</f>
        <v>2.5</v>
      </c>
      <c r="K34" s="6" cm="1">
        <f t="array" ref="K34">RoundScaleBias($B34,K$2,K$3,K$4,K$5,K$6)</f>
        <v>2.5</v>
      </c>
      <c r="L34" s="5" cm="1">
        <f t="array" ref="L34">RoundScaleBias($B34,L$2,L$3,L$4,L$5,L$6)</f>
        <v>2</v>
      </c>
      <c r="M34" s="1" cm="1">
        <f t="array" ref="M34">RoundScaleBias($B34,M$2,M$3,M$4,M$5,M$6)</f>
        <v>2</v>
      </c>
      <c r="N34" s="1" cm="1">
        <f t="array" ref="N34">RoundScaleBias($B34,N$2,N$3,N$4,N$5,N$6)</f>
        <v>2</v>
      </c>
      <c r="O34" s="1" cm="1">
        <f t="array" ref="O34">RoundScaleBias($B34,O$2,O$3,O$4,O$5,O$6)</f>
        <v>4</v>
      </c>
      <c r="P34" s="5" cm="1">
        <f t="array" ref="P34">RoundScaleBias($B34,P$2,P$3,P$4,P$5,P$6)</f>
        <v>2</v>
      </c>
      <c r="Q34" s="1" cm="1">
        <f t="array" ref="Q34">RoundScaleBias($B34,Q$2,Q$3,Q$4,Q$5,Q$6)</f>
        <v>2</v>
      </c>
      <c r="R34" s="1" cm="1">
        <f t="array" ref="R34">RoundScaleBias($B34,R$2,R$3,R$4,R$5,R$6)</f>
        <v>2</v>
      </c>
      <c r="S34" s="6" cm="1">
        <f t="array" ref="S34">RoundScaleBias($B34,S$2,S$3,S$4,S$5,S$6)</f>
        <v>4</v>
      </c>
      <c r="T34" s="5" cm="1">
        <f t="array" ref="T34">RoundScaleBias($B34,T$2,T$3,T$4,T$5,T$6)</f>
        <v>2.5</v>
      </c>
      <c r="U34" s="6" cm="1">
        <f t="array" ref="U34">RoundScaleBias($B34,U$2,U$3,U$4,U$5,U$6)</f>
        <v>3</v>
      </c>
      <c r="V34" s="5" cm="1">
        <f t="array" ref="V34">RoundScaleBias($B34,V$2,V$3,V$4,V$5,V$6)</f>
        <v>2.5</v>
      </c>
      <c r="W34" s="6" cm="1">
        <f t="array" ref="W34">RoundScaleBias($B34,W$2,W$3,W$4,W$5,W$6)</f>
        <v>2.5</v>
      </c>
      <c r="X34" s="1"/>
      <c r="Y34" s="1"/>
    </row>
    <row r="35" spans="2:25" x14ac:dyDescent="0.25">
      <c r="B35">
        <v>2.75</v>
      </c>
      <c r="D35" s="5" cm="1">
        <f t="array" ref="D35">RoundScaleBias($B35,D$2,D$3,D$4,D$5,D$6)</f>
        <v>2</v>
      </c>
      <c r="E35" s="1" cm="1">
        <f t="array" ref="E35">RoundScaleBias($B35,E$2,E$3,E$4,E$5,E$6)</f>
        <v>3</v>
      </c>
      <c r="F35" s="1" cm="1">
        <f t="array" ref="F35">RoundScaleBias($B35,F$2,F$3,F$4,F$5,F$6)</f>
        <v>3</v>
      </c>
      <c r="G35" s="6" cm="1">
        <f t="array" ref="G35">RoundScaleBias($B35,G$2,G$3,G$4,G$5,G$6)</f>
        <v>3</v>
      </c>
      <c r="H35" s="5" cm="1">
        <f t="array" ref="H35">RoundScaleBias($B35,H$2,H$3,H$4,H$5,H$6)</f>
        <v>2.5</v>
      </c>
      <c r="I35" s="1" cm="1">
        <f t="array" ref="I35">RoundScaleBias($B35,I$2,I$3,I$4,I$5,I$6)</f>
        <v>2.5</v>
      </c>
      <c r="J35" s="1" cm="1">
        <f t="array" ref="J35">RoundScaleBias($B35,J$2,J$3,J$4,J$5,J$6)</f>
        <v>2.5</v>
      </c>
      <c r="K35" s="6" cm="1">
        <f t="array" ref="K35">RoundScaleBias($B35,K$2,K$3,K$4,K$5,K$6)</f>
        <v>3.5</v>
      </c>
      <c r="L35" s="5" cm="1">
        <f t="array" ref="L35">RoundScaleBias($B35,L$2,L$3,L$4,L$5,L$6)</f>
        <v>2</v>
      </c>
      <c r="M35" s="1" cm="1">
        <f t="array" ref="M35">RoundScaleBias($B35,M$2,M$3,M$4,M$5,M$6)</f>
        <v>2</v>
      </c>
      <c r="N35" s="1" cm="1">
        <f t="array" ref="N35">RoundScaleBias($B35,N$2,N$3,N$4,N$5,N$6)</f>
        <v>2</v>
      </c>
      <c r="O35" s="1" cm="1">
        <f t="array" ref="O35">RoundScaleBias($B35,O$2,O$3,O$4,O$5,O$6)</f>
        <v>4</v>
      </c>
      <c r="P35" s="5" cm="1">
        <f t="array" ref="P35">RoundScaleBias($B35,P$2,P$3,P$4,P$5,P$6)</f>
        <v>2</v>
      </c>
      <c r="Q35" s="1" cm="1">
        <f t="array" ref="Q35">RoundScaleBias($B35,Q$2,Q$3,Q$4,Q$5,Q$6)</f>
        <v>2</v>
      </c>
      <c r="R35" s="1" cm="1">
        <f t="array" ref="R35">RoundScaleBias($B35,R$2,R$3,R$4,R$5,R$6)</f>
        <v>2</v>
      </c>
      <c r="S35" s="6" cm="1">
        <f t="array" ref="S35">RoundScaleBias($B35,S$2,S$3,S$4,S$5,S$6)</f>
        <v>4</v>
      </c>
      <c r="T35" s="5" cm="1">
        <f t="array" ref="T35">RoundScaleBias($B35,T$2,T$3,T$4,T$5,T$6)</f>
        <v>2.5</v>
      </c>
      <c r="U35" s="6" cm="1">
        <f t="array" ref="U35">RoundScaleBias($B35,U$2,U$3,U$4,U$5,U$6)</f>
        <v>3</v>
      </c>
      <c r="V35" s="5" cm="1">
        <f t="array" ref="V35">RoundScaleBias($B35,V$2,V$3,V$4,V$5,V$6)</f>
        <v>2.5</v>
      </c>
      <c r="W35" s="6" cm="1">
        <f t="array" ref="W35">RoundScaleBias($B35,W$2,W$3,W$4,W$5,W$6)</f>
        <v>3</v>
      </c>
      <c r="X35" s="1"/>
      <c r="Y35" s="1"/>
    </row>
    <row r="36" spans="2:25" x14ac:dyDescent="0.25">
      <c r="B36">
        <v>3</v>
      </c>
      <c r="D36" s="5" cm="1">
        <f t="array" ref="D36">RoundScaleBias($B36,D$2,D$3,D$4,D$5,D$6)</f>
        <v>3</v>
      </c>
      <c r="E36" s="1" cm="1">
        <f t="array" ref="E36">RoundScaleBias($B36,E$2,E$3,E$4,E$5,E$6)</f>
        <v>3</v>
      </c>
      <c r="F36" s="1" cm="1">
        <f t="array" ref="F36">RoundScaleBias($B36,F$2,F$3,F$4,F$5,F$6)</f>
        <v>3</v>
      </c>
      <c r="G36" s="6" cm="1">
        <f t="array" ref="G36">RoundScaleBias($B36,G$2,G$3,G$4,G$5,G$6)</f>
        <v>3</v>
      </c>
      <c r="H36" s="5" cm="1">
        <f t="array" ref="H36">RoundScaleBias($B36,H$2,H$3,H$4,H$5,H$6)</f>
        <v>2.5</v>
      </c>
      <c r="I36" s="1" cm="1">
        <f t="array" ref="I36">RoundScaleBias($B36,I$2,I$3,I$4,I$5,I$6)</f>
        <v>2.5</v>
      </c>
      <c r="J36" s="1" cm="1">
        <f t="array" ref="J36">RoundScaleBias($B36,J$2,J$3,J$4,J$5,J$6)</f>
        <v>3.5</v>
      </c>
      <c r="K36" s="6" cm="1">
        <f t="array" ref="K36">RoundScaleBias($B36,K$2,K$3,K$4,K$5,K$6)</f>
        <v>3.5</v>
      </c>
      <c r="L36" s="5" cm="1">
        <f t="array" ref="L36">RoundScaleBias($B36,L$2,L$3,L$4,L$5,L$6)</f>
        <v>2</v>
      </c>
      <c r="M36" s="1" cm="1">
        <f t="array" ref="M36">RoundScaleBias($B36,M$2,M$3,M$4,M$5,M$6)</f>
        <v>2</v>
      </c>
      <c r="N36" s="1" cm="1">
        <f t="array" ref="N36">RoundScaleBias($B36,N$2,N$3,N$4,N$5,N$6)</f>
        <v>4</v>
      </c>
      <c r="O36" s="1" cm="1">
        <f t="array" ref="O36">RoundScaleBias($B36,O$2,O$3,O$4,O$5,O$6)</f>
        <v>4</v>
      </c>
      <c r="P36" s="5" cm="1">
        <f t="array" ref="P36">RoundScaleBias($B36,P$2,P$3,P$4,P$5,P$6)</f>
        <v>2</v>
      </c>
      <c r="Q36" s="1" cm="1">
        <f t="array" ref="Q36">RoundScaleBias($B36,Q$2,Q$3,Q$4,Q$5,Q$6)</f>
        <v>2</v>
      </c>
      <c r="R36" s="1" cm="1">
        <f t="array" ref="R36">RoundScaleBias($B36,R$2,R$3,R$4,R$5,R$6)</f>
        <v>4</v>
      </c>
      <c r="S36" s="6" cm="1">
        <f t="array" ref="S36">RoundScaleBias($B36,S$2,S$3,S$4,S$5,S$6)</f>
        <v>4</v>
      </c>
      <c r="T36" s="5" cm="1">
        <f t="array" ref="T36">RoundScaleBias($B36,T$2,T$3,T$4,T$5,T$6)</f>
        <v>2.5</v>
      </c>
      <c r="U36" s="6" cm="1">
        <f t="array" ref="U36">RoundScaleBias($B36,U$2,U$3,U$4,U$5,U$6)</f>
        <v>3</v>
      </c>
      <c r="V36" s="5" cm="1">
        <f t="array" ref="V36">RoundScaleBias($B36,V$2,V$3,V$4,V$5,V$6)</f>
        <v>3</v>
      </c>
      <c r="W36" s="6" cm="1">
        <f t="array" ref="W36">RoundScaleBias($B36,W$2,W$3,W$4,W$5,W$6)</f>
        <v>3</v>
      </c>
      <c r="X36" s="1"/>
      <c r="Y36" s="1"/>
    </row>
    <row r="37" spans="2:25" x14ac:dyDescent="0.25">
      <c r="B37">
        <v>3.25</v>
      </c>
      <c r="D37" s="5" cm="1">
        <f t="array" ref="D37">RoundScaleBias($B37,D$2,D$3,D$4,D$5,D$6)</f>
        <v>3</v>
      </c>
      <c r="E37" s="1" cm="1">
        <f t="array" ref="E37">RoundScaleBias($B37,E$2,E$3,E$4,E$5,E$6)</f>
        <v>3</v>
      </c>
      <c r="F37" s="1" cm="1">
        <f t="array" ref="F37">RoundScaleBias($B37,F$2,F$3,F$4,F$5,F$6)</f>
        <v>3</v>
      </c>
      <c r="G37" s="6" cm="1">
        <f t="array" ref="G37">RoundScaleBias($B37,G$2,G$3,G$4,G$5,G$6)</f>
        <v>4</v>
      </c>
      <c r="H37" s="5" cm="1">
        <f t="array" ref="H37">RoundScaleBias($B37,H$2,H$3,H$4,H$5,H$6)</f>
        <v>2.5</v>
      </c>
      <c r="I37" s="1" cm="1">
        <f t="array" ref="I37">RoundScaleBias($B37,I$2,I$3,I$4,I$5,I$6)</f>
        <v>3.5</v>
      </c>
      <c r="J37" s="1" cm="1">
        <f t="array" ref="J37">RoundScaleBias($B37,J$2,J$3,J$4,J$5,J$6)</f>
        <v>3.5</v>
      </c>
      <c r="K37" s="6" cm="1">
        <f t="array" ref="K37">RoundScaleBias($B37,K$2,K$3,K$4,K$5,K$6)</f>
        <v>3.5</v>
      </c>
      <c r="L37" s="5" cm="1">
        <f t="array" ref="L37">RoundScaleBias($B37,L$2,L$3,L$4,L$5,L$6)</f>
        <v>2</v>
      </c>
      <c r="M37" s="1" cm="1">
        <f t="array" ref="M37">RoundScaleBias($B37,M$2,M$3,M$4,M$5,M$6)</f>
        <v>4</v>
      </c>
      <c r="N37" s="1" cm="1">
        <f t="array" ref="N37">RoundScaleBias($B37,N$2,N$3,N$4,N$5,N$6)</f>
        <v>4</v>
      </c>
      <c r="O37" s="1" cm="1">
        <f t="array" ref="O37">RoundScaleBias($B37,O$2,O$3,O$4,O$5,O$6)</f>
        <v>4</v>
      </c>
      <c r="P37" s="5" cm="1">
        <f t="array" ref="P37">RoundScaleBias($B37,P$2,P$3,P$4,P$5,P$6)</f>
        <v>2</v>
      </c>
      <c r="Q37" s="1" cm="1">
        <f t="array" ref="Q37">RoundScaleBias($B37,Q$2,Q$3,Q$4,Q$5,Q$6)</f>
        <v>4</v>
      </c>
      <c r="R37" s="1" cm="1">
        <f t="array" ref="R37">RoundScaleBias($B37,R$2,R$3,R$4,R$5,R$6)</f>
        <v>4</v>
      </c>
      <c r="S37" s="6" cm="1">
        <f t="array" ref="S37">RoundScaleBias($B37,S$2,S$3,S$4,S$5,S$6)</f>
        <v>4</v>
      </c>
      <c r="T37" s="5" cm="1">
        <f t="array" ref="T37">RoundScaleBias($B37,T$2,T$3,T$4,T$5,T$6)</f>
        <v>2.5</v>
      </c>
      <c r="U37" s="6" cm="1">
        <f t="array" ref="U37">RoundScaleBias($B37,U$2,U$3,U$4,U$5,U$6)</f>
        <v>5</v>
      </c>
      <c r="V37" s="5" cm="1">
        <f t="array" ref="V37">RoundScaleBias($B37,V$2,V$3,V$4,V$5,V$6)</f>
        <v>3</v>
      </c>
      <c r="W37" s="6" cm="1">
        <f t="array" ref="W37">RoundScaleBias($B37,W$2,W$3,W$4,W$5,W$6)</f>
        <v>3.5</v>
      </c>
      <c r="X37" s="1"/>
      <c r="Y37" s="1"/>
    </row>
    <row r="38" spans="2:25" x14ac:dyDescent="0.25">
      <c r="B38">
        <v>3.5</v>
      </c>
      <c r="D38" s="5" cm="1">
        <f t="array" ref="D38">RoundScaleBias($B38,D$2,D$3,D$4,D$5,D$6)</f>
        <v>3</v>
      </c>
      <c r="E38" s="1" cm="1">
        <f t="array" ref="E38">RoundScaleBias($B38,E$2,E$3,E$4,E$5,E$6)</f>
        <v>3</v>
      </c>
      <c r="F38" s="1" cm="1">
        <f t="array" ref="F38">RoundScaleBias($B38,F$2,F$3,F$4,F$5,F$6)</f>
        <v>4</v>
      </c>
      <c r="G38" s="6" cm="1">
        <f t="array" ref="G38">RoundScaleBias($B38,G$2,G$3,G$4,G$5,G$6)</f>
        <v>4</v>
      </c>
      <c r="H38" s="5" cm="1">
        <f t="array" ref="H38">RoundScaleBias($B38,H$2,H$3,H$4,H$5,H$6)</f>
        <v>3.5</v>
      </c>
      <c r="I38" s="1" cm="1">
        <f t="array" ref="I38">RoundScaleBias($B38,I$2,I$3,I$4,I$5,I$6)</f>
        <v>3.5</v>
      </c>
      <c r="J38" s="1" cm="1">
        <f t="array" ref="J38">RoundScaleBias($B38,J$2,J$3,J$4,J$5,J$6)</f>
        <v>3.5</v>
      </c>
      <c r="K38" s="6" cm="1">
        <f t="array" ref="K38">RoundScaleBias($B38,K$2,K$3,K$4,K$5,K$6)</f>
        <v>3.5</v>
      </c>
      <c r="L38" s="5" cm="1">
        <f t="array" ref="L38">RoundScaleBias($B38,L$2,L$3,L$4,L$5,L$6)</f>
        <v>2</v>
      </c>
      <c r="M38" s="1" cm="1">
        <f t="array" ref="M38">RoundScaleBias($B38,M$2,M$3,M$4,M$5,M$6)</f>
        <v>4</v>
      </c>
      <c r="N38" s="1" cm="1">
        <f t="array" ref="N38">RoundScaleBias($B38,N$2,N$3,N$4,N$5,N$6)</f>
        <v>4</v>
      </c>
      <c r="O38" s="1" cm="1">
        <f t="array" ref="O38">RoundScaleBias($B38,O$2,O$3,O$4,O$5,O$6)</f>
        <v>4</v>
      </c>
      <c r="P38" s="5" cm="1">
        <f t="array" ref="P38">RoundScaleBias($B38,P$2,P$3,P$4,P$5,P$6)</f>
        <v>2</v>
      </c>
      <c r="Q38" s="1" cm="1">
        <f t="array" ref="Q38">RoundScaleBias($B38,Q$2,Q$3,Q$4,Q$5,Q$6)</f>
        <v>4</v>
      </c>
      <c r="R38" s="1" cm="1">
        <f t="array" ref="R38">RoundScaleBias($B38,R$2,R$3,R$4,R$5,R$6)</f>
        <v>4</v>
      </c>
      <c r="S38" s="6" cm="1">
        <f t="array" ref="S38">RoundScaleBias($B38,S$2,S$3,S$4,S$5,S$6)</f>
        <v>4</v>
      </c>
      <c r="T38" s="5" cm="1">
        <f t="array" ref="T38">RoundScaleBias($B38,T$2,T$3,T$4,T$5,T$6)</f>
        <v>2.5</v>
      </c>
      <c r="U38" s="6" cm="1">
        <f t="array" ref="U38">RoundScaleBias($B38,U$2,U$3,U$4,U$5,U$6)</f>
        <v>5</v>
      </c>
      <c r="V38" s="5" cm="1">
        <f t="array" ref="V38">RoundScaleBias($B38,V$2,V$3,V$4,V$5,V$6)</f>
        <v>3.5</v>
      </c>
      <c r="W38" s="6" cm="1">
        <f t="array" ref="W38">RoundScaleBias($B38,W$2,W$3,W$4,W$5,W$6)</f>
        <v>3.5</v>
      </c>
      <c r="X38" s="1"/>
      <c r="Y38" s="1"/>
    </row>
    <row r="39" spans="2:25" x14ac:dyDescent="0.25">
      <c r="B39">
        <v>3.75</v>
      </c>
      <c r="D39" s="5" cm="1">
        <f t="array" ref="D39">RoundScaleBias($B39,D$2,D$3,D$4,D$5,D$6)</f>
        <v>3</v>
      </c>
      <c r="E39" s="1" cm="1">
        <f t="array" ref="E39">RoundScaleBias($B39,E$2,E$3,E$4,E$5,E$6)</f>
        <v>4</v>
      </c>
      <c r="F39" s="1" cm="1">
        <f t="array" ref="F39">RoundScaleBias($B39,F$2,F$3,F$4,F$5,F$6)</f>
        <v>4</v>
      </c>
      <c r="G39" s="6" cm="1">
        <f t="array" ref="G39">RoundScaleBias($B39,G$2,G$3,G$4,G$5,G$6)</f>
        <v>4</v>
      </c>
      <c r="H39" s="5" cm="1">
        <f t="array" ref="H39">RoundScaleBias($B39,H$2,H$3,H$4,H$5,H$6)</f>
        <v>3.5</v>
      </c>
      <c r="I39" s="1" cm="1">
        <f t="array" ref="I39">RoundScaleBias($B39,I$2,I$3,I$4,I$5,I$6)</f>
        <v>3.5</v>
      </c>
      <c r="J39" s="1" cm="1">
        <f t="array" ref="J39">RoundScaleBias($B39,J$2,J$3,J$4,J$5,J$6)</f>
        <v>3.5</v>
      </c>
      <c r="K39" s="6" cm="1">
        <f t="array" ref="K39">RoundScaleBias($B39,K$2,K$3,K$4,K$5,K$6)</f>
        <v>4.5</v>
      </c>
      <c r="L39" s="5" cm="1">
        <f t="array" ref="L39">RoundScaleBias($B39,L$2,L$3,L$4,L$5,L$6)</f>
        <v>2</v>
      </c>
      <c r="M39" s="1" cm="1">
        <f t="array" ref="M39">RoundScaleBias($B39,M$2,M$3,M$4,M$5,M$6)</f>
        <v>4</v>
      </c>
      <c r="N39" s="1" cm="1">
        <f t="array" ref="N39">RoundScaleBias($B39,N$2,N$3,N$4,N$5,N$6)</f>
        <v>4</v>
      </c>
      <c r="O39" s="1" cm="1">
        <f t="array" ref="O39">RoundScaleBias($B39,O$2,O$3,O$4,O$5,O$6)</f>
        <v>4</v>
      </c>
      <c r="P39" s="5" cm="1">
        <f t="array" ref="P39">RoundScaleBias($B39,P$2,P$3,P$4,P$5,P$6)</f>
        <v>2</v>
      </c>
      <c r="Q39" s="1" cm="1">
        <f t="array" ref="Q39">RoundScaleBias($B39,Q$2,Q$3,Q$4,Q$5,Q$6)</f>
        <v>4</v>
      </c>
      <c r="R39" s="1" cm="1">
        <f t="array" ref="R39">RoundScaleBias($B39,R$2,R$3,R$4,R$5,R$6)</f>
        <v>4</v>
      </c>
      <c r="S39" s="6" cm="1">
        <f t="array" ref="S39">RoundScaleBias($B39,S$2,S$3,S$4,S$5,S$6)</f>
        <v>4</v>
      </c>
      <c r="T39" s="5" cm="1">
        <f t="array" ref="T39">RoundScaleBias($B39,T$2,T$3,T$4,T$5,T$6)</f>
        <v>2.5</v>
      </c>
      <c r="U39" s="6" cm="1">
        <f t="array" ref="U39">RoundScaleBias($B39,U$2,U$3,U$4,U$5,U$6)</f>
        <v>5</v>
      </c>
      <c r="V39" s="5" cm="1">
        <f t="array" ref="V39">RoundScaleBias($B39,V$2,V$3,V$4,V$5,V$6)</f>
        <v>3.5</v>
      </c>
      <c r="W39" s="6" cm="1">
        <f t="array" ref="W39">RoundScaleBias($B39,W$2,W$3,W$4,W$5,W$6)</f>
        <v>4</v>
      </c>
      <c r="X39" s="1"/>
      <c r="Y39" s="1"/>
    </row>
    <row r="40" spans="2:25" x14ac:dyDescent="0.25">
      <c r="B40">
        <v>4</v>
      </c>
      <c r="D40" s="7" cm="1">
        <f t="array" ref="D40">RoundScaleBias($B40,D$2,D$3,D$4,D$5,D$6)</f>
        <v>4</v>
      </c>
      <c r="E40" s="8" cm="1">
        <f t="array" ref="E40">RoundScaleBias($B40,E$2,E$3,E$4,E$5,E$6)</f>
        <v>4</v>
      </c>
      <c r="F40" s="8" cm="1">
        <f t="array" ref="F40">RoundScaleBias($B40,F$2,F$3,F$4,F$5,F$6)</f>
        <v>4</v>
      </c>
      <c r="G40" s="9" cm="1">
        <f t="array" ref="G40">RoundScaleBias($B40,G$2,G$3,G$4,G$5,G$6)</f>
        <v>4</v>
      </c>
      <c r="H40" s="7" cm="1">
        <f t="array" ref="H40">RoundScaleBias($B40,H$2,H$3,H$4,H$5,H$6)</f>
        <v>3.5</v>
      </c>
      <c r="I40" s="8" cm="1">
        <f t="array" ref="I40">RoundScaleBias($B40,I$2,I$3,I$4,I$5,I$6)</f>
        <v>3.5</v>
      </c>
      <c r="J40" s="8" cm="1">
        <f t="array" ref="J40">RoundScaleBias($B40,J$2,J$3,J$4,J$5,J$6)</f>
        <v>4.5</v>
      </c>
      <c r="K40" s="9" cm="1">
        <f t="array" ref="K40">RoundScaleBias($B40,K$2,K$3,K$4,K$5,K$6)</f>
        <v>4.5</v>
      </c>
      <c r="L40" s="7" cm="1">
        <f t="array" ref="L40">RoundScaleBias($B40,L$2,L$3,L$4,L$5,L$6)</f>
        <v>4</v>
      </c>
      <c r="M40" s="8" cm="1">
        <f t="array" ref="M40">RoundScaleBias($B40,M$2,M$3,M$4,M$5,M$6)</f>
        <v>4</v>
      </c>
      <c r="N40" s="8" cm="1">
        <f t="array" ref="N40">RoundScaleBias($B40,N$2,N$3,N$4,N$5,N$6)</f>
        <v>4</v>
      </c>
      <c r="O40" s="8" cm="1">
        <f t="array" ref="O40">RoundScaleBias($B40,O$2,O$3,O$4,O$5,O$6)</f>
        <v>4</v>
      </c>
      <c r="P40" s="7" cm="1">
        <f t="array" ref="P40">RoundScaleBias($B40,P$2,P$3,P$4,P$5,P$6)</f>
        <v>4</v>
      </c>
      <c r="Q40" s="8" cm="1">
        <f t="array" ref="Q40">RoundScaleBias($B40,Q$2,Q$3,Q$4,Q$5,Q$6)</f>
        <v>4</v>
      </c>
      <c r="R40" s="8" cm="1">
        <f t="array" ref="R40">RoundScaleBias($B40,R$2,R$3,R$4,R$5,R$6)</f>
        <v>4</v>
      </c>
      <c r="S40" s="9" cm="1">
        <f t="array" ref="S40">RoundScaleBias($B40,S$2,S$3,S$4,S$5,S$6)</f>
        <v>4</v>
      </c>
      <c r="T40" s="7" cm="1">
        <f t="array" ref="T40">RoundScaleBias($B40,T$2,T$3,T$4,T$5,T$6)</f>
        <v>2.5</v>
      </c>
      <c r="U40" s="9" cm="1">
        <f t="array" ref="U40">RoundScaleBias($B40,U$2,U$3,U$4,U$5,U$6)</f>
        <v>5</v>
      </c>
      <c r="V40" s="7" cm="1">
        <f t="array" ref="V40">RoundScaleBias($B40,V$2,V$3,V$4,V$5,V$6)</f>
        <v>4</v>
      </c>
      <c r="W40" s="9" cm="1">
        <f t="array" ref="W40">RoundScaleBias($B40,W$2,W$3,W$4,W$5,W$6)</f>
        <v>4</v>
      </c>
      <c r="X40" s="1"/>
      <c r="Y40" s="1"/>
    </row>
  </sheetData>
  <conditionalFormatting sqref="D8:Z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Calculations</vt:lpstr>
      <vt:lpstr>Rounding1</vt:lpstr>
      <vt:lpstr>Rounding2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Dwayne Robinson</dc:creator>
  <cp:lastModifiedBy>Dwayne Robinson</cp:lastModifiedBy>
  <dcterms:created xsi:type="dcterms:W3CDTF">2026-09-15T23:15:05Z</dcterms:created>
  <dcterms:modified xsi:type="dcterms:W3CDTF">2026-09-16T03:46:53Z</dcterms:modified>
</cp:coreProperties>
</file>